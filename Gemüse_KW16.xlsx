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leiss\Desktop\"/>
    </mc:Choice>
  </mc:AlternateContent>
  <xr:revisionPtr revIDLastSave="0" documentId="8_{67D5D44D-A3AE-4030-8EDA-6BF0BDE9639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emüse" sheetId="1" r:id="rId1"/>
    <sheet name="Tabelle1" sheetId="2" r:id="rId2"/>
    <sheet name="Abgleich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6" i="3" l="1"/>
  <c r="L5" i="3"/>
  <c r="L4" i="3"/>
  <c r="L3" i="3"/>
  <c r="L2" i="3"/>
  <c r="J5" i="1" l="1"/>
  <c r="H5" i="1"/>
  <c r="F5" i="1"/>
  <c r="F2" i="1"/>
  <c r="H2" i="1"/>
  <c r="J2" i="1"/>
  <c r="F4" i="1"/>
  <c r="H4" i="1"/>
  <c r="J4" i="1"/>
  <c r="F6" i="1"/>
  <c r="H6" i="1"/>
  <c r="J6" i="1"/>
  <c r="F8" i="1"/>
  <c r="H8" i="1"/>
  <c r="J8" i="1"/>
  <c r="F9" i="1"/>
  <c r="H9" i="1"/>
  <c r="J9" i="1"/>
  <c r="F11" i="1"/>
  <c r="H11" i="1"/>
  <c r="J11" i="1"/>
  <c r="F13" i="1"/>
  <c r="H13" i="1"/>
  <c r="J13" i="1"/>
  <c r="F14" i="1"/>
  <c r="H14" i="1"/>
  <c r="J14" i="1"/>
  <c r="F16" i="1"/>
  <c r="H16" i="1"/>
  <c r="J16" i="1"/>
  <c r="F17" i="1"/>
  <c r="H17" i="1"/>
  <c r="J17" i="1"/>
  <c r="F18" i="1"/>
  <c r="H18" i="1"/>
  <c r="J18" i="1"/>
  <c r="F19" i="1"/>
  <c r="H19" i="1"/>
  <c r="J19" i="1"/>
  <c r="F20" i="1"/>
  <c r="H20" i="1"/>
  <c r="J20" i="1"/>
  <c r="F21" i="1"/>
  <c r="H21" i="1"/>
  <c r="J21" i="1"/>
  <c r="F22" i="1"/>
  <c r="H22" i="1"/>
  <c r="J22" i="1"/>
  <c r="F23" i="1"/>
  <c r="H23" i="1"/>
  <c r="J23" i="1"/>
  <c r="F24" i="1"/>
  <c r="H24" i="1"/>
  <c r="J24" i="1"/>
  <c r="F25" i="1"/>
  <c r="H25" i="1"/>
  <c r="J25" i="1"/>
  <c r="F26" i="1"/>
  <c r="H26" i="1"/>
  <c r="J26" i="1"/>
  <c r="F27" i="1"/>
  <c r="H27" i="1"/>
  <c r="J27" i="1"/>
  <c r="F28" i="1"/>
  <c r="H28" i="1"/>
  <c r="J28" i="1"/>
  <c r="F29" i="1"/>
  <c r="H29" i="1"/>
  <c r="J29" i="1"/>
  <c r="F30" i="1"/>
  <c r="H30" i="1"/>
  <c r="J30" i="1"/>
  <c r="F31" i="1"/>
  <c r="H31" i="1"/>
  <c r="J31" i="1"/>
  <c r="F32" i="1"/>
  <c r="H32" i="1"/>
  <c r="J32" i="1"/>
  <c r="F33" i="1"/>
  <c r="H33" i="1"/>
  <c r="J33" i="1"/>
  <c r="F34" i="1"/>
  <c r="H34" i="1"/>
  <c r="J34" i="1"/>
  <c r="F35" i="1"/>
  <c r="H35" i="1"/>
  <c r="J35" i="1"/>
  <c r="F36" i="1"/>
  <c r="H36" i="1"/>
  <c r="J36" i="1"/>
  <c r="F37" i="1"/>
  <c r="H37" i="1"/>
  <c r="J37" i="1"/>
  <c r="F38" i="1"/>
  <c r="H38" i="1"/>
  <c r="J38" i="1"/>
  <c r="F39" i="1"/>
  <c r="H39" i="1"/>
  <c r="J39" i="1"/>
  <c r="F40" i="1"/>
  <c r="H40" i="1"/>
  <c r="J40" i="1"/>
  <c r="F41" i="1"/>
  <c r="H41" i="1"/>
  <c r="J41" i="1"/>
  <c r="F42" i="1"/>
  <c r="H42" i="1"/>
  <c r="J42" i="1"/>
  <c r="F43" i="1"/>
  <c r="H43" i="1"/>
  <c r="J43" i="1"/>
  <c r="F44" i="1"/>
  <c r="H44" i="1"/>
  <c r="J44" i="1"/>
  <c r="F45" i="1"/>
  <c r="H45" i="1"/>
  <c r="J45" i="1"/>
  <c r="F46" i="1"/>
  <c r="H46" i="1"/>
  <c r="J46" i="1"/>
  <c r="F47" i="1"/>
  <c r="H47" i="1"/>
  <c r="J47" i="1"/>
  <c r="F48" i="1"/>
  <c r="H48" i="1"/>
  <c r="J48" i="1"/>
  <c r="F49" i="1"/>
  <c r="H49" i="1"/>
  <c r="J49" i="1"/>
  <c r="F50" i="1"/>
  <c r="H50" i="1"/>
  <c r="J50" i="1"/>
  <c r="F51" i="1"/>
  <c r="H51" i="1"/>
  <c r="J51" i="1"/>
  <c r="F52" i="1"/>
  <c r="H52" i="1"/>
  <c r="J52" i="1"/>
  <c r="F53" i="1"/>
  <c r="H53" i="1"/>
  <c r="J53" i="1"/>
  <c r="F54" i="1"/>
  <c r="H54" i="1"/>
  <c r="J54" i="1"/>
  <c r="F55" i="1"/>
  <c r="H55" i="1"/>
  <c r="J55" i="1"/>
  <c r="F56" i="1"/>
  <c r="H56" i="1"/>
  <c r="J56" i="1"/>
  <c r="F57" i="1"/>
  <c r="H57" i="1"/>
  <c r="J57" i="1"/>
  <c r="F58" i="1"/>
  <c r="H58" i="1"/>
  <c r="J58" i="1"/>
  <c r="F59" i="1"/>
  <c r="H59" i="1"/>
  <c r="J59" i="1"/>
  <c r="F60" i="1"/>
  <c r="H60" i="1"/>
  <c r="J60" i="1"/>
  <c r="F61" i="1"/>
  <c r="H61" i="1"/>
  <c r="J61" i="1"/>
  <c r="F62" i="1"/>
  <c r="H62" i="1"/>
  <c r="J62" i="1"/>
  <c r="F63" i="1"/>
  <c r="H63" i="1"/>
  <c r="J63" i="1"/>
  <c r="F64" i="1"/>
  <c r="H64" i="1"/>
  <c r="J64" i="1"/>
  <c r="F65" i="1"/>
  <c r="H65" i="1"/>
  <c r="J65" i="1"/>
  <c r="F66" i="1"/>
  <c r="H66" i="1"/>
  <c r="J66" i="1"/>
  <c r="F67" i="1"/>
  <c r="H67" i="1"/>
  <c r="J67" i="1"/>
  <c r="F68" i="1"/>
  <c r="H68" i="1"/>
  <c r="J68" i="1"/>
  <c r="F69" i="1"/>
  <c r="H69" i="1"/>
  <c r="J69" i="1"/>
  <c r="F70" i="1"/>
  <c r="H70" i="1"/>
  <c r="J70" i="1"/>
  <c r="F71" i="1"/>
  <c r="H71" i="1"/>
  <c r="J71" i="1"/>
  <c r="F72" i="1"/>
  <c r="H72" i="1"/>
  <c r="J72" i="1"/>
  <c r="F73" i="1"/>
  <c r="H73" i="1"/>
  <c r="J73" i="1"/>
  <c r="F74" i="1"/>
  <c r="H74" i="1"/>
  <c r="J74" i="1"/>
  <c r="F75" i="1"/>
  <c r="H75" i="1"/>
  <c r="J75" i="1"/>
  <c r="F76" i="1"/>
  <c r="H76" i="1"/>
  <c r="J76" i="1"/>
  <c r="F77" i="1"/>
  <c r="H77" i="1"/>
  <c r="J77" i="1"/>
  <c r="F78" i="1"/>
  <c r="H78" i="1"/>
  <c r="J78" i="1"/>
  <c r="F79" i="1"/>
  <c r="H79" i="1"/>
  <c r="J79" i="1"/>
  <c r="F80" i="1"/>
  <c r="H80" i="1"/>
  <c r="J80" i="1"/>
  <c r="F81" i="1"/>
  <c r="H81" i="1"/>
  <c r="J81" i="1"/>
  <c r="F82" i="1"/>
  <c r="H82" i="1"/>
  <c r="J82" i="1"/>
  <c r="F83" i="1"/>
  <c r="H83" i="1"/>
  <c r="J83" i="1"/>
  <c r="F84" i="1"/>
  <c r="H84" i="1"/>
  <c r="J84" i="1"/>
  <c r="F85" i="1"/>
  <c r="H85" i="1"/>
  <c r="J85" i="1"/>
  <c r="F86" i="1"/>
  <c r="H86" i="1"/>
  <c r="J86" i="1"/>
  <c r="F87" i="1"/>
  <c r="H87" i="1"/>
  <c r="J87" i="1"/>
  <c r="F88" i="1"/>
  <c r="H88" i="1"/>
  <c r="J88" i="1"/>
  <c r="F89" i="1"/>
  <c r="H89" i="1"/>
  <c r="J89" i="1"/>
  <c r="F90" i="1"/>
  <c r="H90" i="1"/>
  <c r="J90" i="1"/>
  <c r="F91" i="1"/>
  <c r="H91" i="1"/>
  <c r="J91" i="1"/>
  <c r="F92" i="1"/>
  <c r="H92" i="1"/>
  <c r="J92" i="1"/>
  <c r="F93" i="1"/>
  <c r="H93" i="1"/>
  <c r="J93" i="1"/>
  <c r="F94" i="1"/>
  <c r="H94" i="1"/>
  <c r="J94" i="1"/>
  <c r="F95" i="1"/>
  <c r="H95" i="1"/>
  <c r="J95" i="1"/>
  <c r="F96" i="1"/>
  <c r="H96" i="1"/>
  <c r="J96" i="1"/>
  <c r="F97" i="1"/>
  <c r="H97" i="1"/>
  <c r="J97" i="1"/>
  <c r="F98" i="1"/>
  <c r="H98" i="1"/>
  <c r="J98" i="1"/>
  <c r="F99" i="1"/>
  <c r="H99" i="1"/>
  <c r="J99" i="1"/>
  <c r="F100" i="1"/>
  <c r="H100" i="1"/>
  <c r="J100" i="1"/>
  <c r="F101" i="1"/>
  <c r="H101" i="1"/>
  <c r="J101" i="1"/>
  <c r="F102" i="1"/>
  <c r="H102" i="1"/>
  <c r="J102" i="1"/>
  <c r="F103" i="1"/>
  <c r="H103" i="1"/>
  <c r="J103" i="1"/>
  <c r="F104" i="1"/>
  <c r="H104" i="1"/>
  <c r="J104" i="1"/>
  <c r="F105" i="1"/>
  <c r="H105" i="1"/>
  <c r="J105" i="1"/>
  <c r="F106" i="1"/>
  <c r="H106" i="1"/>
  <c r="J106" i="1"/>
  <c r="F107" i="1"/>
  <c r="H107" i="1"/>
  <c r="J107" i="1"/>
  <c r="J3" i="1"/>
  <c r="H3" i="1"/>
  <c r="H108" i="1" s="1"/>
  <c r="F3" i="1"/>
  <c r="J108" i="1" l="1"/>
  <c r="F108" i="1"/>
</calcChain>
</file>

<file path=xl/sharedStrings.xml><?xml version="1.0" encoding="utf-8"?>
<sst xmlns="http://schemas.openxmlformats.org/spreadsheetml/2006/main" count="827" uniqueCount="344">
  <si>
    <t>GRANOLA</t>
  </si>
  <si>
    <t xml:space="preserve">Italienische Heurige </t>
  </si>
  <si>
    <t xml:space="preserve">Österreichischer Spargel, weiß </t>
  </si>
  <si>
    <t xml:space="preserve">Waldviertler Bärlauch </t>
  </si>
  <si>
    <t xml:space="preserve">Ital. Bio-Avocado </t>
  </si>
  <si>
    <t xml:space="preserve">Ital. Bio-Grapefruit Rose </t>
  </si>
  <si>
    <t xml:space="preserve">Ital. Bio-Blut-Orangen </t>
  </si>
  <si>
    <t>Eferdinger Ingwer </t>
  </si>
  <si>
    <t>Ital. Bio-Erdnüsse </t>
  </si>
  <si>
    <t>Steir. Nüsse, ausgelöst  </t>
  </si>
  <si>
    <t>Waldviertler Süßkartoffel  </t>
  </si>
  <si>
    <t>Marchfelder Sigma, heurige Erdäpfel, festkochend </t>
  </si>
  <si>
    <t>Waldviertler ‘Linzer Rose’, rotschalige Erdäpfel  </t>
  </si>
  <si>
    <t>Steirische Bio-Erdbeeren  </t>
  </si>
  <si>
    <t>Steirische Bio-Himbeeren  </t>
  </si>
  <si>
    <t>Steirische Bio-Heidelbeeren  </t>
  </si>
  <si>
    <t>Steirische Ribisel  </t>
  </si>
  <si>
    <t>Ital. Weintrauben, kernlos  </t>
  </si>
  <si>
    <t>Ital. Bio Kiwi </t>
  </si>
  <si>
    <t>Ital. Bio-Orangen  </t>
  </si>
  <si>
    <t>Ital. Bio-Mandarinen  </t>
  </si>
  <si>
    <t>Ital. Bio-Zitronen </t>
  </si>
  <si>
    <t>Steir. Birnen Williams </t>
  </si>
  <si>
    <t xml:space="preserve">Steir. Bio-Rubinetten Äpfel, säuerlich </t>
  </si>
  <si>
    <t xml:space="preserve">Steir. Bio-Boskop Äpfel, säuerlich </t>
  </si>
  <si>
    <t xml:space="preserve">Steir. Bio-Kronprinz Äpfel, säuerlich </t>
  </si>
  <si>
    <t xml:space="preserve">Steir. Bio-Topaz Äpfel, säuerlich </t>
  </si>
  <si>
    <t xml:space="preserve">Steir. Bio-Elstar Äpfel, säuerlich </t>
  </si>
  <si>
    <t xml:space="preserve">Steir. Bio-Gala Äpfel, süß </t>
  </si>
  <si>
    <t>Fairtrade Bananen aus Kolumbien, </t>
  </si>
  <si>
    <t>Bio Bananen aus Peru, </t>
  </si>
  <si>
    <t>Steir. Bio-Kürbis Butternuß </t>
  </si>
  <si>
    <t>Steir. Bio-Kürbis Hokkaido </t>
  </si>
  <si>
    <t>Marchfelder Mai-/Herbst-Rüben  </t>
  </si>
  <si>
    <t>Wr. Gärtner Pak Choi </t>
  </si>
  <si>
    <t>Wr. Gärtner Spinat </t>
  </si>
  <si>
    <t>Wr.Gärtner Mangold  </t>
  </si>
  <si>
    <t>Wr. Gärtner Fisolen  </t>
  </si>
  <si>
    <t>Wr. Gärtner Kohlsprossen </t>
  </si>
  <si>
    <t>Wr.Gärtner Gurken  </t>
  </si>
  <si>
    <t>Wr.Gärtner Radieschen  </t>
  </si>
  <si>
    <t>Wr.Gärtner Jungzwiebel  </t>
  </si>
  <si>
    <t>Wr.Gärtner Cocktailparadeiser  </t>
  </si>
  <si>
    <t>Wr.Gärtner Aromaparadeiser  </t>
  </si>
  <si>
    <t>Wr.Gärtner Fleischparadeiser (Ochsenherzen)  </t>
  </si>
  <si>
    <t>Wr.Gärtner Paprika rot/gelb/grün   </t>
  </si>
  <si>
    <t>Wr.Gärtner Chicorée </t>
  </si>
  <si>
    <t>Wr.Gärtner Salat </t>
  </si>
  <si>
    <t>Wr.Gärtner Bummerl (Eisbergsalat)  </t>
  </si>
  <si>
    <t>Wr.Gärtner Vogerlsalat </t>
  </si>
  <si>
    <t>Wr.Gärtner Rucola  </t>
  </si>
  <si>
    <t>Österr. Jägersalat (Chinakohl)  </t>
  </si>
  <si>
    <t>Wr.Gärtner Fenchel  </t>
  </si>
  <si>
    <t>Wr.Gärtner Melanzani  </t>
  </si>
  <si>
    <t>Wr.Gärtner Porree  </t>
  </si>
  <si>
    <t>Wr.Gärtner Kohlrabi  </t>
  </si>
  <si>
    <t>Wr.Gärtner Kohl  </t>
  </si>
  <si>
    <t>Marchfelder Kraut, weiß/rot  </t>
  </si>
  <si>
    <t>Wr.Gärtner Zucchini  </t>
  </si>
  <si>
    <t>Wr.Gärtner Brokkoli  </t>
  </si>
  <si>
    <t>Wr.Gärtner Karfiol </t>
  </si>
  <si>
    <t>Marchfelder Rote Rüben </t>
  </si>
  <si>
    <t>Suppengemüse, klein  </t>
  </si>
  <si>
    <t>Suppengemüse, groß  </t>
  </si>
  <si>
    <t>Marchfelder Zeller </t>
  </si>
  <si>
    <t>Marchfelder Gelbe Rüben </t>
  </si>
  <si>
    <t>Marchfelder Petersilwurzeln/Pastinaken  </t>
  </si>
  <si>
    <t>Marchfelder Karotten  </t>
  </si>
  <si>
    <t>Marchfelder Bundkarotten </t>
  </si>
  <si>
    <t>Kärntner Champignons </t>
  </si>
  <si>
    <t>Raasdorfer Kräuterseitlinge (Pilze)  </t>
  </si>
  <si>
    <t>NÖ Austernpilze  </t>
  </si>
  <si>
    <t>Laaer Bio-Zwiebel (heurige Ernte)  </t>
  </si>
  <si>
    <t>Laaer Bio-Zwiebel rot  (heurig Ernte) </t>
  </si>
  <si>
    <t>NÖ Schalottenzwiebel </t>
  </si>
  <si>
    <t>Bgdl. Knoblauch  </t>
  </si>
  <si>
    <t>Steir. Kren, gerieben, </t>
  </si>
  <si>
    <t>Steir. Kren, </t>
  </si>
  <si>
    <t>Wr.Gärtner Bio-Gartenkresse  </t>
  </si>
  <si>
    <t>Wr.Gärtner Basilikum  </t>
  </si>
  <si>
    <t>Wr.Gärtner Koriander (grün)  </t>
  </si>
  <si>
    <t>Wr.Gärtner Rosmarin  </t>
  </si>
  <si>
    <t>Wr.Gärtner Thymian  </t>
  </si>
  <si>
    <t>Petersilie  </t>
  </si>
  <si>
    <t>Schnittlauch  </t>
  </si>
  <si>
    <t>Dille  </t>
  </si>
  <si>
    <t>Mühlv. Bio-Apfel-Birnen Essig, naturtrüb  </t>
  </si>
  <si>
    <t>Mühlv. Bio-Apfelessig, im Eichenfass gereift </t>
  </si>
  <si>
    <t>Mühlv. Bio-Birnenbalsam Essig  </t>
  </si>
  <si>
    <t>Steir. Kernöl </t>
  </si>
  <si>
    <t>Steir. Himbeernektar (40%)  </t>
  </si>
  <si>
    <t>Steir. Heidelbeernektar (40%)  </t>
  </si>
  <si>
    <t>Steir. Marillennektar (40%) </t>
  </si>
  <si>
    <t>Mühlv. Bio-Apfel-Johannisbeere Direktsaft  </t>
  </si>
  <si>
    <t>Mühlv. Bio-Birnensaft </t>
  </si>
  <si>
    <t>Mühlv. Bio-Apfelsaft, naturtrüb  </t>
  </si>
  <si>
    <t>OÖ Bio-Freilandeier, Größe XL  </t>
  </si>
  <si>
    <t>Blütenhonig aus Wien Mauer </t>
  </si>
  <si>
    <t>Kilo</t>
  </si>
  <si>
    <t>500g</t>
  </si>
  <si>
    <t>100g</t>
  </si>
  <si>
    <t>Glas (100g)</t>
  </si>
  <si>
    <t>Stück</t>
  </si>
  <si>
    <t xml:space="preserve">200g Glas + </t>
  </si>
  <si>
    <t>250g</t>
  </si>
  <si>
    <t>Bund (3 Stück)</t>
  </si>
  <si>
    <t>Bund</t>
  </si>
  <si>
    <t>ca. 500g</t>
  </si>
  <si>
    <t>ca. 1kg</t>
  </si>
  <si>
    <t>Stück (Happerl)</t>
  </si>
  <si>
    <t>Schachterl</t>
  </si>
  <si>
    <t>50g</t>
  </si>
  <si>
    <t>500ml</t>
  </si>
  <si>
    <t>250ml</t>
  </si>
  <si>
    <t>Liter</t>
  </si>
  <si>
    <t xml:space="preserve">500g und </t>
  </si>
  <si>
    <t>1 Kilo</t>
  </si>
  <si>
    <t>Pfand</t>
  </si>
  <si>
    <t>Moni</t>
  </si>
  <si>
    <t>Stef</t>
  </si>
  <si>
    <t>Verena</t>
  </si>
  <si>
    <t>Österreichischer Spargel, grün</t>
  </si>
  <si>
    <t>Österr. Bio-Rhabarber</t>
  </si>
  <si>
    <t>Frühlingsgrüße</t>
  </si>
  <si>
    <t>Österr. Bio-Rhabarber € 5,00/500g</t>
  </si>
  <si>
    <t>Italienische Heurige € 3,60/Kilo</t>
  </si>
  <si>
    <t>Waldviertler Bärlauch € 2,40/100g</t>
  </si>
  <si>
    <t>…vom Baum oder Strauch…</t>
  </si>
  <si>
    <t>Ital. Bio-Avocado € 1,00/Stück</t>
  </si>
  <si>
    <t>Ital. Bio-Grapefruit Rose € 1,30/Stück</t>
  </si>
  <si>
    <t>€ 4,90/200g Glas + € 1,00 Pfand (zwecks Nachhaltigkeit)</t>
  </si>
  <si>
    <t>Zutaten: Haferflocken, Honig, Mandeln, Kokosöl, Marillen/Cranberry getrocknet, brauner Zucker, Kürbiskerne, Leinsamen, Gewürze, Orangenschalen</t>
  </si>
  <si>
    <t>Nachfolgend findest du die vollständige Warenkarte!</t>
  </si>
  <si>
    <t>Vielen Dank für deine Bestellung!</t>
  </si>
  <si>
    <t>Aktuelle Obst- &amp; Gemüsekarte</t>
  </si>
  <si>
    <t>Österreichischer Spargel, weiß oder grün € 7,00/500g</t>
  </si>
  <si>
    <t>Ital. Bio-Blut-Orangen € 3,90/Kilo</t>
  </si>
  <si>
    <t>Eferdinger Ingwer € 1,00/100g</t>
  </si>
  <si>
    <t>Ital. Bio-Erdnüsse € 2,60/250g</t>
  </si>
  <si>
    <t>Steir. Nüsse, ausgelöst  € 4,50/250g</t>
  </si>
  <si>
    <t>Waldviertler Süßkartoffel  € 4,80/Kilo</t>
  </si>
  <si>
    <t>Marchfelder Sigma, heurige Erdäpfel, festkochend € 3,60/Kilo</t>
  </si>
  <si>
    <t>Waldviertler ‘Linzer Rose’, rotschalige Erdäpfel  € 2,80/Kilo</t>
  </si>
  <si>
    <t>Steirische Bio-Erdbeeren  € 6,00/500g</t>
  </si>
  <si>
    <t>Steirische Bio-Himbeeren  € 4,50/250g</t>
  </si>
  <si>
    <t>Steirische Bio-Heidelbeeren  € 4,50/250g</t>
  </si>
  <si>
    <t>Steirische Ribisel  € 6,00/500g</t>
  </si>
  <si>
    <t>Ital. Weintrauben, kernlos  € 2,80/500g</t>
  </si>
  <si>
    <t>Ital. Bio Kiwi € 1,00/Stück</t>
  </si>
  <si>
    <t>Ital. Bio-Orangen  € 3,80/Kilo</t>
  </si>
  <si>
    <t>Ital. Bio-Mandarinen  € 3,90/Kilo</t>
  </si>
  <si>
    <t>Ital. Bio-Zitronen € 0,60/Stück</t>
  </si>
  <si>
    <t>Steir. Birnen Williams € 3,80/Kilo</t>
  </si>
  <si>
    <t>Steir. Bio-Rubinetten Äpfel, säuerlich € 3,60/Kilo</t>
  </si>
  <si>
    <t>Steir. Bio-Kronprinz Äpfel, säuerlich € 3,60/Kilo</t>
  </si>
  <si>
    <t>Steir. Bio-Topaz Äpfel, säuerlich € 3,60/Kilo</t>
  </si>
  <si>
    <t>Steir. Bio-Elstar Äpfel, säuerlich € 3,60/Kilo</t>
  </si>
  <si>
    <t>Steir. Bio-Gala Äpfel, süß € 3,60/Kilo</t>
  </si>
  <si>
    <t>Fairtrade Bananen aus Kolumbien, € 2,60/Kilo</t>
  </si>
  <si>
    <t>Bio Bananen aus Peru, € 3,20/Kilo</t>
  </si>
  <si>
    <t>Steir. Bio-Kürbis Butternuß € 3,80/Kilo</t>
  </si>
  <si>
    <t>Steir. Bio-Kürbis Hokkaido € 3,80/Kilo</t>
  </si>
  <si>
    <t>Marchfelder Mai-/Herbst-Rüben  € 2,00/Bund (3 Stück)</t>
  </si>
  <si>
    <t>Wr. Gärtner Pak Choi €2,40/500g</t>
  </si>
  <si>
    <t>Wr. Gärtner Spinat € 3,00/500g</t>
  </si>
  <si>
    <t>Wr.Gärtner Mangold  € 4,80/Kilo</t>
  </si>
  <si>
    <t>Wr. Gärtner Fisolen  € 4,00/500g</t>
  </si>
  <si>
    <t>Wr. Gärtner Kohlsprossen € 5,00/500g</t>
  </si>
  <si>
    <t>Wr.Gärtner Gurken  € 1,30/Stück</t>
  </si>
  <si>
    <t>Wr.Gärtner Radieschen  € 1,30/Bund</t>
  </si>
  <si>
    <t>Wr.Gärtner Jungzwiebel  € 1,40/Bund</t>
  </si>
  <si>
    <t>Wr.Gärtner Cocktailparadeiser  € 3,40/500g</t>
  </si>
  <si>
    <t>Wr.Gärtner Aromaparadeiser  € 2,80/500g</t>
  </si>
  <si>
    <t>Wr.Gärtner Fleischparadeiser (Ochsenherzen)  € 2,40/500g</t>
  </si>
  <si>
    <t>Wr.Gärtner Paprika rot/gelb/grün   € 1,30/Stück</t>
  </si>
  <si>
    <t>Wr.Gärtner Chicorée € 3,00/500g</t>
  </si>
  <si>
    <t>Wr.Gärtner Salat € 1,30/Stück</t>
  </si>
  <si>
    <t>Wr.Gärtner Bummerl (Eisbergsalat)  € 1,50/Stück</t>
  </si>
  <si>
    <t>Wr.Gärtner Vogerlsalat € 1,80/100g</t>
  </si>
  <si>
    <t>Wr.Gärtner Rucola  € 1,80/100g</t>
  </si>
  <si>
    <t>Österr. Jägersalat (Chinakohl)  € 2,80/Kilo</t>
  </si>
  <si>
    <t>Wr.Gärtner Fenchel  € 2,40/500g</t>
  </si>
  <si>
    <t>Wr.Gärtner Melanzani  € 4,80/Kilo</t>
  </si>
  <si>
    <t>Wr.Gärtner Porree  € 3,90/Kilo</t>
  </si>
  <si>
    <t>Wr.Gärtner Kohlrabi  € 1,30/Stück</t>
  </si>
  <si>
    <t>Wr.Gärtner Kohl  € 2,80/Kilo</t>
  </si>
  <si>
    <t>Marchfelder Kraut, weiß/rot  € 2,80/Kilo</t>
  </si>
  <si>
    <t>Wr.Gärtner Zucchini  € 4,80/Kilo</t>
  </si>
  <si>
    <t>Wr.Gärtner Brokkoli  € 4,80/Kilo</t>
  </si>
  <si>
    <t>Wr.Gärtner Karfiol € 3,60/Stück</t>
  </si>
  <si>
    <t>Marchfelder Rote Rüben € 3,00/Kilo</t>
  </si>
  <si>
    <t>Suppengemüse, klein  € 1,40/ca. 500g</t>
  </si>
  <si>
    <t>Suppengemüse, groß  € 2,80/ca. 1kg</t>
  </si>
  <si>
    <t>Marchfelder Zeller € 2,40/Kilo</t>
  </si>
  <si>
    <t>Marchfelder Gelbe Rüben € 2,40/Kilo</t>
  </si>
  <si>
    <t>Marchfelder Petersilwurzeln/Pastinaken  € 2,80/Kilo</t>
  </si>
  <si>
    <t>Marchfelder Karotten  € 2,00/Kilo</t>
  </si>
  <si>
    <t>Marchfelder Bundkarotten € 2,80/Bund</t>
  </si>
  <si>
    <t>Kärntner Champignons € 2,90/500g</t>
  </si>
  <si>
    <t>Raasdorfer Kräuterseitlinge (Pilze)  € 12,00/500g</t>
  </si>
  <si>
    <t>NÖ Austernpilze  € 3,50/250g</t>
  </si>
  <si>
    <t>Laaer Bio-Zwiebel (heurige Ernte)  € 2,40/Kilo</t>
  </si>
  <si>
    <t>Laaer Bio-Zwiebel rot  (heurig Ernte) € 2,40/Kilo</t>
  </si>
  <si>
    <t>NÖ Schalottenzwiebel € 1,20/250g</t>
  </si>
  <si>
    <t>Bgdl. Knoblauch  € 1,50/Stück (Happerl)</t>
  </si>
  <si>
    <t>Steir. Kren, gerieben, € 3,60/Glas (100g)</t>
  </si>
  <si>
    <t>Steir. Kren, € 1,00/100g</t>
  </si>
  <si>
    <t>Wr.Gärtner Bio-Gartenkresse  €1,10/Schachterl</t>
  </si>
  <si>
    <t>Wr.Gärtner Basilikum  € 2,50/50g</t>
  </si>
  <si>
    <t>Wr.Gärtner Koriander (grün)  € 2,50/50g</t>
  </si>
  <si>
    <t>Wr.Gärtner Rosmarin  € 2,50/50g</t>
  </si>
  <si>
    <t>Wr.Gärtner Thymian  € 2,50/50g</t>
  </si>
  <si>
    <t>Petersilie  € 1,20/Bund</t>
  </si>
  <si>
    <t>Schnittlauch  € 1,20/Bund</t>
  </si>
  <si>
    <t>Dille  € 1,50/Bund</t>
  </si>
  <si>
    <t>Mühlv. Bio-Apfel-Birnen Essig, naturtrüb  € 4,90/500ml</t>
  </si>
  <si>
    <t>Mühlv. Bio-Apfelessig, im Eichenfass gereift € 4,90/500ml</t>
  </si>
  <si>
    <t>Mühlv. Bio-Birnenbalsam Essig  € 5,30/250ml</t>
  </si>
  <si>
    <t>Steir. Kernöl € 13,80/500ml</t>
  </si>
  <si>
    <t>Steir. Himbeernektar (40%)  € 4,80/Liter</t>
  </si>
  <si>
    <t>Steir. Heidelbeernektar (40%)  € 4,80/Liter</t>
  </si>
  <si>
    <t>Steir. Marillennektar (40%) € 4,80/Liter</t>
  </si>
  <si>
    <t>Mühlv. Bio-Apfel-Johannisbeere Direktsaft  € 3,90/Liter</t>
  </si>
  <si>
    <t>Mühlv. Bio-Birnensaft € 3,50/Liter</t>
  </si>
  <si>
    <t>Mühlv. Bio-Apfelsaft, naturtrüb  € 2,90/Liter</t>
  </si>
  <si>
    <t>OÖ Bio-Freilandeier, Größe XL  € 0,50/Stück</t>
  </si>
  <si>
    <t>Blütenhonig aus Wien Mauer € 10,00/500g und €19,00/1 Kilo</t>
  </si>
  <si>
    <t>🔎 Abgleich: Tabelle1 → Gemüse</t>
  </si>
  <si>
    <t>Erstellt am 15.4.2026, 11:00:39</t>
  </si>
  <si>
    <t>Quelle Zeile</t>
  </si>
  <si>
    <t>Produkt (Tabelle1)</t>
  </si>
  <si>
    <t>Preis (Tabelle1)</t>
  </si>
  <si>
    <t>Einheit (Tabelle1)</t>
  </si>
  <si>
    <t>Treffer in Gemüse</t>
  </si>
  <si>
    <t>Produkt (Gemüse)</t>
  </si>
  <si>
    <t>Preis (Gemüse)</t>
  </si>
  <si>
    <t>Einheit (Gemüse)</t>
  </si>
  <si>
    <t>Status</t>
  </si>
  <si>
    <t>OK</t>
  </si>
  <si>
    <t>Österreichischer Spargel, weiß oder grün</t>
  </si>
  <si>
    <t>Italienische Heurige</t>
  </si>
  <si>
    <t>Waldviertler Bärlauch</t>
  </si>
  <si>
    <t>Ital. Bio-Avocado</t>
  </si>
  <si>
    <t>Ital. Bio-Grapefruit Rose</t>
  </si>
  <si>
    <t>Ital. Bio-Blut-Orangen</t>
  </si>
  <si>
    <t>200g Glas</t>
  </si>
  <si>
    <t>Pfand (zwecks Nachhaltigkeit)</t>
  </si>
  <si>
    <t>(leer)</t>
  </si>
  <si>
    <t>Eferdinger Ingwer</t>
  </si>
  <si>
    <t>Ital. Bio-Erdnüsse</t>
  </si>
  <si>
    <t>Steir. Nüsse, ausgelöst</t>
  </si>
  <si>
    <t>Waldviertler Süßkartoffel</t>
  </si>
  <si>
    <t>Marchfelder Sigma, heurige Erdäpfel, festkochend</t>
  </si>
  <si>
    <t>Waldviertler ‘Linzer Rose’, rotschalige Erdäpfel</t>
  </si>
  <si>
    <t>Steirische Bio-Erdbeeren</t>
  </si>
  <si>
    <t>Steirische Bio-Himbeeren</t>
  </si>
  <si>
    <t>Steirische Bio-Heidelbeeren</t>
  </si>
  <si>
    <t>Steirische Ribisel</t>
  </si>
  <si>
    <t>Ital. Weintrauben, kernlos</t>
  </si>
  <si>
    <t>Ital. Bio Kiwi</t>
  </si>
  <si>
    <t>Ital. Bio-Orangen</t>
  </si>
  <si>
    <t>Ital. Bio-Mandarinen</t>
  </si>
  <si>
    <t>Ital. Bio-Zitronen</t>
  </si>
  <si>
    <t>Steir. Birnen Williams</t>
  </si>
  <si>
    <t>Steir. Bio-Rubinetten Äpfel, säuerlich</t>
  </si>
  <si>
    <t>Steir. Bio-Kronprinz Äpfel, säuerlich</t>
  </si>
  <si>
    <t>Steir. Bio-Topaz Äpfel, säuerlich</t>
  </si>
  <si>
    <t>Steir. Bio-Elstar Äpfel, säuerlich</t>
  </si>
  <si>
    <t>Steir. Bio-Gala Äpfel, süß</t>
  </si>
  <si>
    <t>Fairtrade Bananen aus Kolumbien,</t>
  </si>
  <si>
    <t>Bio Bananen aus Peru,</t>
  </si>
  <si>
    <t>Steir. Bio-Kürbis Butternuß</t>
  </si>
  <si>
    <t>Steir. Bio-Kürbis Hokkaido</t>
  </si>
  <si>
    <t>Marchfelder Mai-/Herbst-Rüben</t>
  </si>
  <si>
    <t>Wr. Gärtner Pak Choi</t>
  </si>
  <si>
    <t>Wr. Gärtner Spinat</t>
  </si>
  <si>
    <t>Wr.Gärtner Mangold</t>
  </si>
  <si>
    <t>Wr. Gärtner Fisolen</t>
  </si>
  <si>
    <t>Wr. Gärtner Kohlsprossen</t>
  </si>
  <si>
    <t>Wr.Gärtner Gurken</t>
  </si>
  <si>
    <t>Wr.Gärtner Radieschen</t>
  </si>
  <si>
    <t>Wr.Gärtner Jungzwiebel</t>
  </si>
  <si>
    <t>Wr.Gärtner Cocktailparadeiser</t>
  </si>
  <si>
    <t>Wr.Gärtner Aromaparadeiser</t>
  </si>
  <si>
    <t>Wr.Gärtner Fleischparadeiser (Ochsenherzen)</t>
  </si>
  <si>
    <t>Wr.Gärtner Paprika rot/gelb/grün</t>
  </si>
  <si>
    <t>Wr.Gärtner Chicorée</t>
  </si>
  <si>
    <t>Wr.Gärtner Salat</t>
  </si>
  <si>
    <t>Wr.Gärtner Bummerl (Eisbergsalat)</t>
  </si>
  <si>
    <t>Wr.Gärtner Vogerlsalat</t>
  </si>
  <si>
    <t>Wr.Gärtner Rucola</t>
  </si>
  <si>
    <t>Österr. Jägersalat (Chinakohl)</t>
  </si>
  <si>
    <t>Wr.Gärtner Fenchel</t>
  </si>
  <si>
    <t>Wr.Gärtner Melanzani</t>
  </si>
  <si>
    <t>Wr.Gärtner Porree</t>
  </si>
  <si>
    <t>Wr.Gärtner Kohlrabi</t>
  </si>
  <si>
    <t>Wr.Gärtner Kohl</t>
  </si>
  <si>
    <t>Marchfelder Kraut, weiß/rot</t>
  </si>
  <si>
    <t>Wr.Gärtner Zucchini</t>
  </si>
  <si>
    <t>Wr.Gärtner Brokkoli</t>
  </si>
  <si>
    <t>Wr.Gärtner Karfiol</t>
  </si>
  <si>
    <t>Marchfelder Rote Rüben</t>
  </si>
  <si>
    <t>Suppengemüse, klein</t>
  </si>
  <si>
    <t>Suppengemüse, groß</t>
  </si>
  <si>
    <t>Marchfelder Zeller</t>
  </si>
  <si>
    <t>Marchfelder Gelbe Rüben</t>
  </si>
  <si>
    <t>Marchfelder Petersilwurzeln/Pastinaken</t>
  </si>
  <si>
    <t>Marchfelder Karotten</t>
  </si>
  <si>
    <t>Marchfelder Bundkarotten</t>
  </si>
  <si>
    <t>Kärntner Champignons</t>
  </si>
  <si>
    <t>Raasdorfer Kräuterseitlinge (Pilze)</t>
  </si>
  <si>
    <t>NÖ Austernpilze</t>
  </si>
  <si>
    <t>Laaer Bio-Zwiebel (heurige Ernte)</t>
  </si>
  <si>
    <t>Laaer Bio-Zwiebel rot  (heurig Ernte)</t>
  </si>
  <si>
    <t>NÖ Schalottenzwiebel</t>
  </si>
  <si>
    <t>Bgdl. Knoblauch</t>
  </si>
  <si>
    <t>Steir. Kren, gerieben,</t>
  </si>
  <si>
    <t>Steir. Kren,</t>
  </si>
  <si>
    <t>Wr.Gärtner Bio-Gartenkresse</t>
  </si>
  <si>
    <t>Wr.Gärtner Basilikum</t>
  </si>
  <si>
    <t>Wr.Gärtner Koriander (grün)</t>
  </si>
  <si>
    <t>Wr.Gärtner Rosmarin</t>
  </si>
  <si>
    <t>Wr.Gärtner Thymian</t>
  </si>
  <si>
    <t>Petersilie</t>
  </si>
  <si>
    <t>Schnittlauch</t>
  </si>
  <si>
    <t>Dille</t>
  </si>
  <si>
    <t>Mühlv. Bio-Apfel-Birnen Essig, naturtrüb</t>
  </si>
  <si>
    <t>Mühlv. Bio-Apfelessig, im Eichenfass gereift</t>
  </si>
  <si>
    <t>Mühlv. Bio-Birnenbalsam Essig</t>
  </si>
  <si>
    <t>Steir. Kernöl</t>
  </si>
  <si>
    <t>Steir. Himbeernektar (40%)</t>
  </si>
  <si>
    <t>Steir. Heidelbeernektar (40%)</t>
  </si>
  <si>
    <t>Steir. Marillennektar (40%)</t>
  </si>
  <si>
    <t>Mühlv. Bio-Apfel-Johannisbeere Direktsaft</t>
  </si>
  <si>
    <t>Mühlv. Bio-Birnensaft</t>
  </si>
  <si>
    <t>Mühlv. Bio-Apfelsaft, naturtrüb</t>
  </si>
  <si>
    <t>OÖ Bio-Freilandeier, Größe XL</t>
  </si>
  <si>
    <t>Blütenhonig aus Wien Mauer</t>
  </si>
  <si>
    <t>500g und</t>
  </si>
  <si>
    <t>Preis abweichend</t>
  </si>
  <si>
    <t>📌 Zusammenfassung</t>
  </si>
  <si>
    <t>Gesamt (Einträge)</t>
  </si>
  <si>
    <t>Fehlt</t>
  </si>
  <si>
    <t>Einheit abweichend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</si>
</sst>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\€\ #,##0.00"/>
  </numFmts>
  <fonts count="5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rgb="FF444444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168" fontId="0" fillId="0" borderId="0" xfId="0" applyNumberFormat="1"/>
    <xf numFmtId="1" fontId="0" fillId="0" borderId="0" xfId="0" applyNumberFormat="1"/>
    <xf numFmtId="0" fontId="3" fillId="2" borderId="0" xfId="0" applyFont="1" applyFill="1"/>
    <xf numFmtId="0" fontId="4" fillId="2" borderId="0" xfId="0" applyFont="1" applyFill="1"/>
  </cellXfs>
  <cellStyles count="1">
    <cellStyle name="Standard" xfId="0" builtinId="0"/>
  </cellStyles>
  <dxfs count="6">
    <dxf>
      <font>
        <color rgb="FF000000"/>
      </font>
      <fill>
        <patternFill patternType="solid">
          <fgColor indexed="64"/>
          <bgColor rgb="FFFFF2CC"/>
        </patternFill>
      </fill>
    </dxf>
    <dxf>
      <font>
        <color rgb="FF000000"/>
      </font>
      <fill>
        <patternFill patternType="solid">
          <fgColor indexed="64"/>
          <bgColor rgb="FFFFF2CC"/>
        </patternFill>
      </fill>
    </dxf>
    <dxf>
      <font>
        <color rgb="FF000000"/>
      </font>
      <fill>
        <patternFill patternType="solid">
          <fgColor indexed="64"/>
          <bgColor rgb="FFFDE9D9"/>
        </patternFill>
      </fill>
    </dxf>
    <dxf>
      <numFmt numFmtId="1" formatCode="0"/>
    </dxf>
    <dxf>
      <numFmt numFmtId="1" formatCode="0"/>
    </dxf>
    <dxf>
      <numFmt numFmtId="168" formatCode="\€\ 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9E2224F-5560-4D3A-A65C-95F6C69DC599}" name="Abgleich_Tabelle1_Gemuese" displayName="Abgleich_Tabelle1_Gemuese" ref="A4:I104" totalsRowShown="0">
  <autoFilter ref="A4:I104" xr:uid="{79E2224F-5560-4D3A-A65C-95F6C69DC599}"/>
  <tableColumns count="9">
    <tableColumn id="1" xr3:uid="{88DB70FD-C08C-4EC7-B74C-5E33E211CC61}" name="Quelle Zeile" dataDxfId="4"/>
    <tableColumn id="2" xr3:uid="{BFD07D71-6ED5-4EDF-8D39-668FDDD922E0}" name="Produkt (Tabelle1)"/>
    <tableColumn id="3" xr3:uid="{B7D2B666-5774-49D2-82BA-584E89430F5D}" name="Preis (Tabelle1)" dataDxfId="5"/>
    <tableColumn id="4" xr3:uid="{D292A26D-E43E-4C54-A896-AA8409679DEA}" name="Einheit (Tabelle1)"/>
    <tableColumn id="5" xr3:uid="{A6F31B8E-A539-4B2E-84E6-5C31E88FCF0C}" name="Treffer in Gemüse" dataDxfId="3"/>
    <tableColumn id="6" xr3:uid="{D3E54A2C-D1B1-4EAB-8B36-4E7916A59331}" name="Produkt (Gemüse)"/>
    <tableColumn id="7" xr3:uid="{3D05E86D-44F9-4BE7-AA3E-96898063D7A2}" name="Preis (Gemüse)"/>
    <tableColumn id="8" xr3:uid="{DE4AA585-1314-4476-8C21-A688CA9B5F73}" name="Einheit (Gemüse)"/>
    <tableColumn id="9" xr3:uid="{4F3EAC2E-6012-44D6-BC92-8109DB9C5723}" name="Statu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108"/>
  <sheetViews>
    <sheetView tabSelected="1" topLeftCell="A60" workbookViewId="0">
      <selection activeCell="I78" sqref="I78"/>
    </sheetView>
  </sheetViews>
  <sheetFormatPr baseColWidth="10" defaultColWidth="9.140625" defaultRowHeight="15" x14ac:dyDescent="0.25"/>
  <cols>
    <col min="2" max="2" width="47" bestFit="1" customWidth="1"/>
  </cols>
  <sheetData>
    <row r="1" spans="2:10" x14ac:dyDescent="0.25">
      <c r="E1" t="s">
        <v>118</v>
      </c>
      <c r="G1" t="s">
        <v>119</v>
      </c>
      <c r="I1" t="s">
        <v>120</v>
      </c>
    </row>
    <row r="2" spans="2:10" x14ac:dyDescent="0.25">
      <c r="B2" t="s">
        <v>122</v>
      </c>
      <c r="C2">
        <v>5</v>
      </c>
      <c r="D2" t="s">
        <v>99</v>
      </c>
      <c r="F2">
        <f>$C2*E2</f>
        <v>0</v>
      </c>
      <c r="H2">
        <f>$C2*G2</f>
        <v>0</v>
      </c>
      <c r="J2">
        <f>$C2*I2</f>
        <v>0</v>
      </c>
    </row>
    <row r="3" spans="2:10" x14ac:dyDescent="0.25">
      <c r="B3" t="s">
        <v>1</v>
      </c>
      <c r="C3">
        <v>3.6</v>
      </c>
      <c r="D3" t="s">
        <v>98</v>
      </c>
      <c r="F3">
        <f>$C3*E3</f>
        <v>0</v>
      </c>
      <c r="H3">
        <f>$C3*G3</f>
        <v>0</v>
      </c>
      <c r="J3">
        <f>$C3*I3</f>
        <v>0</v>
      </c>
    </row>
    <row r="4" spans="2:10" x14ac:dyDescent="0.25">
      <c r="B4" t="s">
        <v>2</v>
      </c>
      <c r="C4">
        <v>7</v>
      </c>
      <c r="D4" t="s">
        <v>99</v>
      </c>
      <c r="F4">
        <f t="shared" ref="F4:F66" si="0">$C4*E4</f>
        <v>0</v>
      </c>
      <c r="H4">
        <f t="shared" ref="H4:H66" si="1">$C4*G4</f>
        <v>0</v>
      </c>
      <c r="J4">
        <f t="shared" ref="J4:J66" si="2">$C4*I4</f>
        <v>0</v>
      </c>
    </row>
    <row r="5" spans="2:10" x14ac:dyDescent="0.25">
      <c r="B5" t="s">
        <v>121</v>
      </c>
      <c r="C5">
        <v>7</v>
      </c>
      <c r="D5" t="s">
        <v>99</v>
      </c>
      <c r="E5">
        <v>1</v>
      </c>
      <c r="F5">
        <f t="shared" si="0"/>
        <v>7</v>
      </c>
      <c r="H5">
        <f t="shared" si="1"/>
        <v>0</v>
      </c>
      <c r="I5">
        <v>1</v>
      </c>
      <c r="J5">
        <f t="shared" si="2"/>
        <v>7</v>
      </c>
    </row>
    <row r="6" spans="2:10" x14ac:dyDescent="0.25">
      <c r="B6" t="s">
        <v>3</v>
      </c>
      <c r="C6">
        <v>2.4</v>
      </c>
      <c r="D6" t="s">
        <v>100</v>
      </c>
      <c r="F6">
        <f t="shared" si="0"/>
        <v>0</v>
      </c>
      <c r="H6">
        <f t="shared" si="1"/>
        <v>0</v>
      </c>
      <c r="J6">
        <f t="shared" si="2"/>
        <v>0</v>
      </c>
    </row>
    <row r="8" spans="2:10" x14ac:dyDescent="0.25">
      <c r="B8" t="s">
        <v>4</v>
      </c>
      <c r="C8">
        <v>1</v>
      </c>
      <c r="D8" t="s">
        <v>102</v>
      </c>
      <c r="F8">
        <f t="shared" si="0"/>
        <v>0</v>
      </c>
      <c r="H8">
        <f t="shared" si="1"/>
        <v>0</v>
      </c>
      <c r="J8">
        <f t="shared" si="2"/>
        <v>0</v>
      </c>
    </row>
    <row r="9" spans="2:10" x14ac:dyDescent="0.25">
      <c r="B9" t="s">
        <v>5</v>
      </c>
      <c r="C9">
        <v>1.3</v>
      </c>
      <c r="D9" t="s">
        <v>102</v>
      </c>
      <c r="F9">
        <f t="shared" si="0"/>
        <v>0</v>
      </c>
      <c r="H9">
        <f t="shared" si="1"/>
        <v>0</v>
      </c>
      <c r="J9">
        <f t="shared" si="2"/>
        <v>0</v>
      </c>
    </row>
    <row r="11" spans="2:10" x14ac:dyDescent="0.25">
      <c r="B11" t="s">
        <v>6</v>
      </c>
      <c r="C11">
        <v>3.9</v>
      </c>
      <c r="D11" t="s">
        <v>98</v>
      </c>
      <c r="F11">
        <f t="shared" si="0"/>
        <v>0</v>
      </c>
      <c r="H11">
        <f t="shared" si="1"/>
        <v>0</v>
      </c>
      <c r="J11">
        <f t="shared" si="2"/>
        <v>0</v>
      </c>
    </row>
    <row r="13" spans="2:10" x14ac:dyDescent="0.25">
      <c r="B13" t="s">
        <v>0</v>
      </c>
      <c r="C13">
        <v>4.9000000000000004</v>
      </c>
      <c r="D13" t="s">
        <v>103</v>
      </c>
      <c r="F13">
        <f t="shared" si="0"/>
        <v>0</v>
      </c>
      <c r="H13">
        <f t="shared" si="1"/>
        <v>0</v>
      </c>
      <c r="J13">
        <f t="shared" si="2"/>
        <v>0</v>
      </c>
    </row>
    <row r="14" spans="2:10" x14ac:dyDescent="0.25">
      <c r="C14">
        <v>1</v>
      </c>
      <c r="D14" t="s">
        <v>117</v>
      </c>
      <c r="F14">
        <f t="shared" si="0"/>
        <v>0</v>
      </c>
      <c r="H14">
        <f t="shared" si="1"/>
        <v>0</v>
      </c>
      <c r="J14">
        <f t="shared" si="2"/>
        <v>0</v>
      </c>
    </row>
    <row r="16" spans="2:10" x14ac:dyDescent="0.25">
      <c r="B16" t="s">
        <v>7</v>
      </c>
      <c r="C16">
        <v>1</v>
      </c>
      <c r="D16" t="s">
        <v>100</v>
      </c>
      <c r="F16">
        <f t="shared" si="0"/>
        <v>0</v>
      </c>
      <c r="H16">
        <f t="shared" si="1"/>
        <v>0</v>
      </c>
      <c r="J16">
        <f t="shared" si="2"/>
        <v>0</v>
      </c>
    </row>
    <row r="17" spans="2:10" x14ac:dyDescent="0.25">
      <c r="B17" t="s">
        <v>8</v>
      </c>
      <c r="C17">
        <v>2.6</v>
      </c>
      <c r="D17" t="s">
        <v>104</v>
      </c>
      <c r="F17">
        <f t="shared" si="0"/>
        <v>0</v>
      </c>
      <c r="H17">
        <f t="shared" si="1"/>
        <v>0</v>
      </c>
      <c r="J17">
        <f t="shared" si="2"/>
        <v>0</v>
      </c>
    </row>
    <row r="18" spans="2:10" x14ac:dyDescent="0.25">
      <c r="B18" t="s">
        <v>9</v>
      </c>
      <c r="C18">
        <v>4.5</v>
      </c>
      <c r="D18" t="s">
        <v>104</v>
      </c>
      <c r="F18">
        <f t="shared" si="0"/>
        <v>0</v>
      </c>
      <c r="H18">
        <f t="shared" si="1"/>
        <v>0</v>
      </c>
      <c r="I18">
        <v>1</v>
      </c>
      <c r="J18">
        <f t="shared" si="2"/>
        <v>4.5</v>
      </c>
    </row>
    <row r="19" spans="2:10" x14ac:dyDescent="0.25">
      <c r="B19" t="s">
        <v>10</v>
      </c>
      <c r="C19">
        <v>4.8</v>
      </c>
      <c r="D19" t="s">
        <v>98</v>
      </c>
      <c r="F19">
        <f t="shared" si="0"/>
        <v>0</v>
      </c>
      <c r="H19">
        <f t="shared" si="1"/>
        <v>0</v>
      </c>
      <c r="I19">
        <v>0.5</v>
      </c>
      <c r="J19">
        <f t="shared" si="2"/>
        <v>2.4</v>
      </c>
    </row>
    <row r="20" spans="2:10" x14ac:dyDescent="0.25">
      <c r="B20" t="s">
        <v>11</v>
      </c>
      <c r="C20">
        <v>3.6</v>
      </c>
      <c r="D20" t="s">
        <v>98</v>
      </c>
      <c r="E20">
        <v>1</v>
      </c>
      <c r="F20">
        <f t="shared" si="0"/>
        <v>3.6</v>
      </c>
      <c r="H20">
        <f t="shared" si="1"/>
        <v>0</v>
      </c>
      <c r="I20">
        <v>1</v>
      </c>
      <c r="J20">
        <f t="shared" si="2"/>
        <v>3.6</v>
      </c>
    </row>
    <row r="21" spans="2:10" x14ac:dyDescent="0.25">
      <c r="B21" t="s">
        <v>12</v>
      </c>
      <c r="C21">
        <v>2.8</v>
      </c>
      <c r="D21" t="s">
        <v>98</v>
      </c>
      <c r="F21">
        <f t="shared" si="0"/>
        <v>0</v>
      </c>
      <c r="H21">
        <f t="shared" si="1"/>
        <v>0</v>
      </c>
      <c r="J21">
        <f t="shared" si="2"/>
        <v>0</v>
      </c>
    </row>
    <row r="22" spans="2:10" x14ac:dyDescent="0.25">
      <c r="B22" t="s">
        <v>13</v>
      </c>
      <c r="C22">
        <v>6</v>
      </c>
      <c r="D22" t="s">
        <v>99</v>
      </c>
      <c r="F22">
        <f t="shared" si="0"/>
        <v>0</v>
      </c>
      <c r="H22">
        <f t="shared" si="1"/>
        <v>0</v>
      </c>
      <c r="J22">
        <f t="shared" si="2"/>
        <v>0</v>
      </c>
    </row>
    <row r="23" spans="2:10" x14ac:dyDescent="0.25">
      <c r="B23" t="s">
        <v>14</v>
      </c>
      <c r="C23">
        <v>4.5</v>
      </c>
      <c r="D23" t="s">
        <v>104</v>
      </c>
      <c r="F23">
        <f t="shared" si="0"/>
        <v>0</v>
      </c>
      <c r="H23">
        <f t="shared" si="1"/>
        <v>0</v>
      </c>
      <c r="I23">
        <v>1</v>
      </c>
      <c r="J23">
        <f t="shared" si="2"/>
        <v>4.5</v>
      </c>
    </row>
    <row r="24" spans="2:10" x14ac:dyDescent="0.25">
      <c r="B24" t="s">
        <v>15</v>
      </c>
      <c r="C24">
        <v>4.5</v>
      </c>
      <c r="D24" t="s">
        <v>104</v>
      </c>
      <c r="E24">
        <v>1</v>
      </c>
      <c r="F24">
        <f t="shared" si="0"/>
        <v>4.5</v>
      </c>
      <c r="H24">
        <f t="shared" si="1"/>
        <v>0</v>
      </c>
      <c r="I24">
        <v>1</v>
      </c>
      <c r="J24">
        <f t="shared" si="2"/>
        <v>4.5</v>
      </c>
    </row>
    <row r="25" spans="2:10" x14ac:dyDescent="0.25">
      <c r="B25" t="s">
        <v>16</v>
      </c>
      <c r="C25">
        <v>6</v>
      </c>
      <c r="D25" t="s">
        <v>99</v>
      </c>
      <c r="F25">
        <f t="shared" si="0"/>
        <v>0</v>
      </c>
      <c r="H25">
        <f t="shared" si="1"/>
        <v>0</v>
      </c>
      <c r="J25">
        <f t="shared" si="2"/>
        <v>0</v>
      </c>
    </row>
    <row r="26" spans="2:10" x14ac:dyDescent="0.25">
      <c r="B26" t="s">
        <v>17</v>
      </c>
      <c r="C26">
        <v>2.8</v>
      </c>
      <c r="D26" t="s">
        <v>99</v>
      </c>
      <c r="F26">
        <f t="shared" si="0"/>
        <v>0</v>
      </c>
      <c r="H26">
        <f t="shared" si="1"/>
        <v>0</v>
      </c>
      <c r="I26">
        <v>1</v>
      </c>
      <c r="J26">
        <f t="shared" si="2"/>
        <v>2.8</v>
      </c>
    </row>
    <row r="27" spans="2:10" x14ac:dyDescent="0.25">
      <c r="B27" t="s">
        <v>18</v>
      </c>
      <c r="C27">
        <v>1</v>
      </c>
      <c r="D27" t="s">
        <v>102</v>
      </c>
      <c r="F27">
        <f t="shared" si="0"/>
        <v>0</v>
      </c>
      <c r="H27">
        <f t="shared" si="1"/>
        <v>0</v>
      </c>
      <c r="J27">
        <f t="shared" si="2"/>
        <v>0</v>
      </c>
    </row>
    <row r="28" spans="2:10" x14ac:dyDescent="0.25">
      <c r="B28" t="s">
        <v>19</v>
      </c>
      <c r="C28">
        <v>3.8</v>
      </c>
      <c r="D28" t="s">
        <v>98</v>
      </c>
      <c r="F28">
        <f t="shared" si="0"/>
        <v>0</v>
      </c>
      <c r="H28">
        <f t="shared" si="1"/>
        <v>0</v>
      </c>
      <c r="J28">
        <f t="shared" si="2"/>
        <v>0</v>
      </c>
    </row>
    <row r="29" spans="2:10" x14ac:dyDescent="0.25">
      <c r="B29" t="s">
        <v>20</v>
      </c>
      <c r="C29">
        <v>3.9</v>
      </c>
      <c r="D29" t="s">
        <v>98</v>
      </c>
      <c r="F29">
        <f t="shared" si="0"/>
        <v>0</v>
      </c>
      <c r="H29">
        <f t="shared" si="1"/>
        <v>0</v>
      </c>
      <c r="J29">
        <f t="shared" si="2"/>
        <v>0</v>
      </c>
    </row>
    <row r="30" spans="2:10" x14ac:dyDescent="0.25">
      <c r="B30" t="s">
        <v>21</v>
      </c>
      <c r="C30">
        <v>0.6</v>
      </c>
      <c r="D30" t="s">
        <v>102</v>
      </c>
      <c r="E30">
        <v>2</v>
      </c>
      <c r="F30">
        <f t="shared" si="0"/>
        <v>1.2</v>
      </c>
      <c r="H30">
        <f t="shared" si="1"/>
        <v>0</v>
      </c>
      <c r="I30">
        <v>2</v>
      </c>
      <c r="J30">
        <f t="shared" si="2"/>
        <v>1.2</v>
      </c>
    </row>
    <row r="31" spans="2:10" x14ac:dyDescent="0.25">
      <c r="B31" t="s">
        <v>22</v>
      </c>
      <c r="C31">
        <v>3.8</v>
      </c>
      <c r="D31" t="s">
        <v>98</v>
      </c>
      <c r="F31">
        <f t="shared" si="0"/>
        <v>0</v>
      </c>
      <c r="H31">
        <f t="shared" si="1"/>
        <v>0</v>
      </c>
      <c r="I31">
        <v>1.5</v>
      </c>
      <c r="J31">
        <f t="shared" si="2"/>
        <v>5.6999999999999993</v>
      </c>
    </row>
    <row r="32" spans="2:10" x14ac:dyDescent="0.25">
      <c r="B32" t="s">
        <v>23</v>
      </c>
      <c r="C32">
        <v>3.6</v>
      </c>
      <c r="D32" t="s">
        <v>98</v>
      </c>
      <c r="F32">
        <f t="shared" si="0"/>
        <v>0</v>
      </c>
      <c r="H32">
        <f t="shared" si="1"/>
        <v>0</v>
      </c>
      <c r="J32">
        <f t="shared" si="2"/>
        <v>0</v>
      </c>
    </row>
    <row r="33" spans="2:10" x14ac:dyDescent="0.25">
      <c r="B33" t="s">
        <v>24</v>
      </c>
      <c r="C33">
        <v>3.6</v>
      </c>
      <c r="D33" t="s">
        <v>98</v>
      </c>
      <c r="F33">
        <f t="shared" si="0"/>
        <v>0</v>
      </c>
      <c r="H33">
        <f t="shared" si="1"/>
        <v>0</v>
      </c>
      <c r="J33">
        <f t="shared" si="2"/>
        <v>0</v>
      </c>
    </row>
    <row r="34" spans="2:10" x14ac:dyDescent="0.25">
      <c r="B34" t="s">
        <v>25</v>
      </c>
      <c r="C34">
        <v>3.6</v>
      </c>
      <c r="D34" t="s">
        <v>98</v>
      </c>
      <c r="F34">
        <f t="shared" si="0"/>
        <v>0</v>
      </c>
      <c r="H34">
        <f t="shared" si="1"/>
        <v>0</v>
      </c>
      <c r="J34">
        <f t="shared" si="2"/>
        <v>0</v>
      </c>
    </row>
    <row r="35" spans="2:10" x14ac:dyDescent="0.25">
      <c r="B35" t="s">
        <v>26</v>
      </c>
      <c r="C35">
        <v>3.6</v>
      </c>
      <c r="D35" t="s">
        <v>98</v>
      </c>
      <c r="F35">
        <f t="shared" si="0"/>
        <v>0</v>
      </c>
      <c r="H35">
        <f t="shared" si="1"/>
        <v>0</v>
      </c>
      <c r="J35">
        <f t="shared" si="2"/>
        <v>0</v>
      </c>
    </row>
    <row r="36" spans="2:10" x14ac:dyDescent="0.25">
      <c r="B36" t="s">
        <v>27</v>
      </c>
      <c r="C36">
        <v>3.6</v>
      </c>
      <c r="D36" t="s">
        <v>98</v>
      </c>
      <c r="E36">
        <v>0.5</v>
      </c>
      <c r="F36">
        <f t="shared" si="0"/>
        <v>1.8</v>
      </c>
      <c r="H36">
        <f t="shared" si="1"/>
        <v>0</v>
      </c>
      <c r="J36">
        <f t="shared" si="2"/>
        <v>0</v>
      </c>
    </row>
    <row r="37" spans="2:10" x14ac:dyDescent="0.25">
      <c r="B37" t="s">
        <v>28</v>
      </c>
      <c r="C37">
        <v>3.6</v>
      </c>
      <c r="D37" t="s">
        <v>98</v>
      </c>
      <c r="F37">
        <f t="shared" si="0"/>
        <v>0</v>
      </c>
      <c r="H37">
        <f t="shared" si="1"/>
        <v>0</v>
      </c>
      <c r="J37">
        <f t="shared" si="2"/>
        <v>0</v>
      </c>
    </row>
    <row r="38" spans="2:10" x14ac:dyDescent="0.25">
      <c r="B38" t="s">
        <v>29</v>
      </c>
      <c r="C38">
        <v>2.6</v>
      </c>
      <c r="D38" t="s">
        <v>98</v>
      </c>
      <c r="F38">
        <f t="shared" si="0"/>
        <v>0</v>
      </c>
      <c r="H38">
        <f t="shared" si="1"/>
        <v>0</v>
      </c>
      <c r="J38">
        <f t="shared" si="2"/>
        <v>0</v>
      </c>
    </row>
    <row r="39" spans="2:10" x14ac:dyDescent="0.25">
      <c r="B39" t="s">
        <v>30</v>
      </c>
      <c r="C39">
        <v>3.2</v>
      </c>
      <c r="D39" t="s">
        <v>98</v>
      </c>
      <c r="E39">
        <v>0.5</v>
      </c>
      <c r="F39">
        <f t="shared" si="0"/>
        <v>1.6</v>
      </c>
      <c r="H39">
        <f t="shared" si="1"/>
        <v>0</v>
      </c>
      <c r="J39">
        <f t="shared" si="2"/>
        <v>0</v>
      </c>
    </row>
    <row r="40" spans="2:10" x14ac:dyDescent="0.25">
      <c r="B40" t="s">
        <v>31</v>
      </c>
      <c r="C40">
        <v>3.8</v>
      </c>
      <c r="D40" t="s">
        <v>98</v>
      </c>
      <c r="F40">
        <f t="shared" si="0"/>
        <v>0</v>
      </c>
      <c r="H40">
        <f t="shared" si="1"/>
        <v>0</v>
      </c>
      <c r="J40">
        <f t="shared" si="2"/>
        <v>0</v>
      </c>
    </row>
    <row r="41" spans="2:10" x14ac:dyDescent="0.25">
      <c r="B41" t="s">
        <v>32</v>
      </c>
      <c r="C41">
        <v>3.8</v>
      </c>
      <c r="D41" t="s">
        <v>98</v>
      </c>
      <c r="F41">
        <f t="shared" si="0"/>
        <v>0</v>
      </c>
      <c r="H41">
        <f t="shared" si="1"/>
        <v>0</v>
      </c>
      <c r="J41">
        <f t="shared" si="2"/>
        <v>0</v>
      </c>
    </row>
    <row r="42" spans="2:10" x14ac:dyDescent="0.25">
      <c r="B42" t="s">
        <v>33</v>
      </c>
      <c r="C42">
        <v>2</v>
      </c>
      <c r="D42" t="s">
        <v>105</v>
      </c>
      <c r="F42">
        <f t="shared" si="0"/>
        <v>0</v>
      </c>
      <c r="H42">
        <f t="shared" si="1"/>
        <v>0</v>
      </c>
      <c r="J42">
        <f t="shared" si="2"/>
        <v>0</v>
      </c>
    </row>
    <row r="43" spans="2:10" x14ac:dyDescent="0.25">
      <c r="B43" t="s">
        <v>34</v>
      </c>
      <c r="C43">
        <v>2.4</v>
      </c>
      <c r="D43" t="s">
        <v>99</v>
      </c>
      <c r="F43">
        <f t="shared" si="0"/>
        <v>0</v>
      </c>
      <c r="H43">
        <f t="shared" si="1"/>
        <v>0</v>
      </c>
      <c r="J43">
        <f t="shared" si="2"/>
        <v>0</v>
      </c>
    </row>
    <row r="44" spans="2:10" x14ac:dyDescent="0.25">
      <c r="B44" t="s">
        <v>35</v>
      </c>
      <c r="C44">
        <v>3</v>
      </c>
      <c r="D44" t="s">
        <v>99</v>
      </c>
      <c r="F44">
        <f t="shared" si="0"/>
        <v>0</v>
      </c>
      <c r="H44">
        <f t="shared" si="1"/>
        <v>0</v>
      </c>
      <c r="J44">
        <f t="shared" si="2"/>
        <v>0</v>
      </c>
    </row>
    <row r="45" spans="2:10" x14ac:dyDescent="0.25">
      <c r="B45" t="s">
        <v>36</v>
      </c>
      <c r="C45">
        <v>4.8</v>
      </c>
      <c r="D45" t="s">
        <v>98</v>
      </c>
      <c r="F45">
        <f t="shared" si="0"/>
        <v>0</v>
      </c>
      <c r="H45">
        <f t="shared" si="1"/>
        <v>0</v>
      </c>
      <c r="J45">
        <f t="shared" si="2"/>
        <v>0</v>
      </c>
    </row>
    <row r="46" spans="2:10" x14ac:dyDescent="0.25">
      <c r="B46" t="s">
        <v>37</v>
      </c>
      <c r="C46">
        <v>4</v>
      </c>
      <c r="D46" t="s">
        <v>99</v>
      </c>
      <c r="F46">
        <f t="shared" si="0"/>
        <v>0</v>
      </c>
      <c r="H46">
        <f t="shared" si="1"/>
        <v>0</v>
      </c>
      <c r="J46">
        <f t="shared" si="2"/>
        <v>0</v>
      </c>
    </row>
    <row r="47" spans="2:10" x14ac:dyDescent="0.25">
      <c r="B47" t="s">
        <v>38</v>
      </c>
      <c r="C47">
        <v>5</v>
      </c>
      <c r="D47" t="s">
        <v>99</v>
      </c>
      <c r="F47">
        <f t="shared" si="0"/>
        <v>0</v>
      </c>
      <c r="H47">
        <f t="shared" si="1"/>
        <v>0</v>
      </c>
      <c r="J47">
        <f t="shared" si="2"/>
        <v>0</v>
      </c>
    </row>
    <row r="48" spans="2:10" x14ac:dyDescent="0.25">
      <c r="B48" t="s">
        <v>39</v>
      </c>
      <c r="C48">
        <v>1.3</v>
      </c>
      <c r="D48" t="s">
        <v>102</v>
      </c>
      <c r="E48">
        <v>1</v>
      </c>
      <c r="F48">
        <f t="shared" si="0"/>
        <v>1.3</v>
      </c>
      <c r="H48">
        <f t="shared" si="1"/>
        <v>0</v>
      </c>
      <c r="I48">
        <v>1</v>
      </c>
      <c r="J48">
        <f t="shared" si="2"/>
        <v>1.3</v>
      </c>
    </row>
    <row r="49" spans="2:10" x14ac:dyDescent="0.25">
      <c r="B49" t="s">
        <v>40</v>
      </c>
      <c r="C49">
        <v>1.3</v>
      </c>
      <c r="D49" t="s">
        <v>106</v>
      </c>
      <c r="E49">
        <v>1</v>
      </c>
      <c r="F49">
        <f t="shared" si="0"/>
        <v>1.3</v>
      </c>
      <c r="H49">
        <f t="shared" si="1"/>
        <v>0</v>
      </c>
      <c r="I49">
        <v>1</v>
      </c>
      <c r="J49">
        <f t="shared" si="2"/>
        <v>1.3</v>
      </c>
    </row>
    <row r="50" spans="2:10" x14ac:dyDescent="0.25">
      <c r="B50" t="s">
        <v>41</v>
      </c>
      <c r="C50">
        <v>1.4</v>
      </c>
      <c r="D50" t="s">
        <v>106</v>
      </c>
      <c r="F50">
        <f t="shared" si="0"/>
        <v>0</v>
      </c>
      <c r="H50">
        <f t="shared" si="1"/>
        <v>0</v>
      </c>
      <c r="J50">
        <f t="shared" si="2"/>
        <v>0</v>
      </c>
    </row>
    <row r="51" spans="2:10" x14ac:dyDescent="0.25">
      <c r="B51" t="s">
        <v>42</v>
      </c>
      <c r="C51">
        <v>3.4</v>
      </c>
      <c r="D51" t="s">
        <v>99</v>
      </c>
      <c r="F51">
        <f t="shared" si="0"/>
        <v>0</v>
      </c>
      <c r="H51">
        <f t="shared" si="1"/>
        <v>0</v>
      </c>
      <c r="J51">
        <f t="shared" si="2"/>
        <v>0</v>
      </c>
    </row>
    <row r="52" spans="2:10" x14ac:dyDescent="0.25">
      <c r="B52" t="s">
        <v>43</v>
      </c>
      <c r="C52">
        <v>2.8</v>
      </c>
      <c r="D52" t="s">
        <v>99</v>
      </c>
      <c r="F52">
        <f t="shared" si="0"/>
        <v>0</v>
      </c>
      <c r="H52">
        <f t="shared" si="1"/>
        <v>0</v>
      </c>
      <c r="J52">
        <f t="shared" si="2"/>
        <v>0</v>
      </c>
    </row>
    <row r="53" spans="2:10" x14ac:dyDescent="0.25">
      <c r="B53" t="s">
        <v>44</v>
      </c>
      <c r="C53">
        <v>2.4</v>
      </c>
      <c r="D53" t="s">
        <v>99</v>
      </c>
      <c r="F53">
        <f t="shared" si="0"/>
        <v>0</v>
      </c>
      <c r="H53">
        <f t="shared" si="1"/>
        <v>0</v>
      </c>
      <c r="J53">
        <f t="shared" si="2"/>
        <v>0</v>
      </c>
    </row>
    <row r="54" spans="2:10" x14ac:dyDescent="0.25">
      <c r="B54" t="s">
        <v>45</v>
      </c>
      <c r="C54">
        <v>1.3</v>
      </c>
      <c r="D54" t="s">
        <v>102</v>
      </c>
      <c r="E54">
        <v>1</v>
      </c>
      <c r="F54">
        <f t="shared" si="0"/>
        <v>1.3</v>
      </c>
      <c r="H54">
        <f t="shared" si="1"/>
        <v>0</v>
      </c>
      <c r="J54">
        <f t="shared" si="2"/>
        <v>0</v>
      </c>
    </row>
    <row r="55" spans="2:10" x14ac:dyDescent="0.25">
      <c r="B55" t="s">
        <v>46</v>
      </c>
      <c r="C55">
        <v>3</v>
      </c>
      <c r="D55" t="s">
        <v>99</v>
      </c>
      <c r="F55">
        <f t="shared" si="0"/>
        <v>0</v>
      </c>
      <c r="H55">
        <f t="shared" si="1"/>
        <v>0</v>
      </c>
      <c r="J55">
        <f t="shared" si="2"/>
        <v>0</v>
      </c>
    </row>
    <row r="56" spans="2:10" x14ac:dyDescent="0.25">
      <c r="B56" t="s">
        <v>47</v>
      </c>
      <c r="C56">
        <v>1.3</v>
      </c>
      <c r="D56" t="s">
        <v>102</v>
      </c>
      <c r="F56">
        <f t="shared" si="0"/>
        <v>0</v>
      </c>
      <c r="H56">
        <f t="shared" si="1"/>
        <v>0</v>
      </c>
      <c r="J56">
        <f t="shared" si="2"/>
        <v>0</v>
      </c>
    </row>
    <row r="57" spans="2:10" x14ac:dyDescent="0.25">
      <c r="B57" t="s">
        <v>48</v>
      </c>
      <c r="C57">
        <v>1.5</v>
      </c>
      <c r="D57" t="s">
        <v>102</v>
      </c>
      <c r="F57">
        <f t="shared" si="0"/>
        <v>0</v>
      </c>
      <c r="H57">
        <f t="shared" si="1"/>
        <v>0</v>
      </c>
      <c r="J57">
        <f t="shared" si="2"/>
        <v>0</v>
      </c>
    </row>
    <row r="58" spans="2:10" x14ac:dyDescent="0.25">
      <c r="B58" t="s">
        <v>49</v>
      </c>
      <c r="C58">
        <v>1.8</v>
      </c>
      <c r="D58" t="s">
        <v>100</v>
      </c>
      <c r="F58">
        <f t="shared" si="0"/>
        <v>0</v>
      </c>
      <c r="H58">
        <f t="shared" si="1"/>
        <v>0</v>
      </c>
      <c r="I58">
        <v>1</v>
      </c>
      <c r="J58">
        <f t="shared" si="2"/>
        <v>1.8</v>
      </c>
    </row>
    <row r="59" spans="2:10" x14ac:dyDescent="0.25">
      <c r="B59" t="s">
        <v>50</v>
      </c>
      <c r="C59">
        <v>1.8</v>
      </c>
      <c r="D59" t="s">
        <v>100</v>
      </c>
      <c r="F59">
        <f t="shared" si="0"/>
        <v>0</v>
      </c>
      <c r="H59">
        <f t="shared" si="1"/>
        <v>0</v>
      </c>
      <c r="J59">
        <f t="shared" si="2"/>
        <v>0</v>
      </c>
    </row>
    <row r="60" spans="2:10" x14ac:dyDescent="0.25">
      <c r="B60" t="s">
        <v>51</v>
      </c>
      <c r="C60">
        <v>2.8</v>
      </c>
      <c r="D60" t="s">
        <v>98</v>
      </c>
      <c r="F60">
        <f t="shared" si="0"/>
        <v>0</v>
      </c>
      <c r="H60">
        <f t="shared" si="1"/>
        <v>0</v>
      </c>
      <c r="J60">
        <f t="shared" si="2"/>
        <v>0</v>
      </c>
    </row>
    <row r="61" spans="2:10" x14ac:dyDescent="0.25">
      <c r="B61" t="s">
        <v>52</v>
      </c>
      <c r="C61">
        <v>2.4</v>
      </c>
      <c r="D61" t="s">
        <v>99</v>
      </c>
      <c r="F61">
        <f t="shared" si="0"/>
        <v>0</v>
      </c>
      <c r="H61">
        <f t="shared" si="1"/>
        <v>0</v>
      </c>
      <c r="J61">
        <f t="shared" si="2"/>
        <v>0</v>
      </c>
    </row>
    <row r="62" spans="2:10" x14ac:dyDescent="0.25">
      <c r="B62" t="s">
        <v>53</v>
      </c>
      <c r="C62">
        <v>4.8</v>
      </c>
      <c r="D62" t="s">
        <v>98</v>
      </c>
      <c r="F62">
        <f t="shared" si="0"/>
        <v>0</v>
      </c>
      <c r="H62">
        <f t="shared" si="1"/>
        <v>0</v>
      </c>
      <c r="J62">
        <f t="shared" si="2"/>
        <v>0</v>
      </c>
    </row>
    <row r="63" spans="2:10" x14ac:dyDescent="0.25">
      <c r="B63" t="s">
        <v>54</v>
      </c>
      <c r="C63">
        <v>3.9</v>
      </c>
      <c r="D63" t="s">
        <v>98</v>
      </c>
      <c r="F63">
        <f t="shared" si="0"/>
        <v>0</v>
      </c>
      <c r="H63">
        <f t="shared" si="1"/>
        <v>0</v>
      </c>
      <c r="J63">
        <f t="shared" si="2"/>
        <v>0</v>
      </c>
    </row>
    <row r="64" spans="2:10" x14ac:dyDescent="0.25">
      <c r="B64" t="s">
        <v>55</v>
      </c>
      <c r="C64">
        <v>1.3</v>
      </c>
      <c r="D64" t="s">
        <v>102</v>
      </c>
      <c r="F64">
        <f t="shared" si="0"/>
        <v>0</v>
      </c>
      <c r="H64">
        <f t="shared" si="1"/>
        <v>0</v>
      </c>
      <c r="J64">
        <f t="shared" si="2"/>
        <v>0</v>
      </c>
    </row>
    <row r="65" spans="2:10" x14ac:dyDescent="0.25">
      <c r="B65" t="s">
        <v>56</v>
      </c>
      <c r="C65">
        <v>2.8</v>
      </c>
      <c r="D65" t="s">
        <v>98</v>
      </c>
      <c r="F65">
        <f t="shared" si="0"/>
        <v>0</v>
      </c>
      <c r="H65">
        <f t="shared" si="1"/>
        <v>0</v>
      </c>
      <c r="J65">
        <f t="shared" si="2"/>
        <v>0</v>
      </c>
    </row>
    <row r="66" spans="2:10" x14ac:dyDescent="0.25">
      <c r="B66" t="s">
        <v>57</v>
      </c>
      <c r="C66">
        <v>2.8</v>
      </c>
      <c r="D66" t="s">
        <v>98</v>
      </c>
      <c r="F66">
        <f t="shared" si="0"/>
        <v>0</v>
      </c>
      <c r="H66">
        <f t="shared" si="1"/>
        <v>0</v>
      </c>
      <c r="J66">
        <f t="shared" si="2"/>
        <v>0</v>
      </c>
    </row>
    <row r="67" spans="2:10" x14ac:dyDescent="0.25">
      <c r="B67" t="s">
        <v>58</v>
      </c>
      <c r="C67">
        <v>4.8</v>
      </c>
      <c r="D67" t="s">
        <v>98</v>
      </c>
      <c r="E67">
        <v>0.5</v>
      </c>
      <c r="F67">
        <f t="shared" ref="F67:F107" si="3">$C67*E67</f>
        <v>2.4</v>
      </c>
      <c r="H67">
        <f t="shared" ref="H67:H107" si="4">$C67*G67</f>
        <v>0</v>
      </c>
      <c r="I67">
        <v>0.5</v>
      </c>
      <c r="J67">
        <f t="shared" ref="J67:J107" si="5">$C67*I67</f>
        <v>2.4</v>
      </c>
    </row>
    <row r="68" spans="2:10" x14ac:dyDescent="0.25">
      <c r="B68" t="s">
        <v>59</v>
      </c>
      <c r="C68">
        <v>4.8</v>
      </c>
      <c r="D68" t="s">
        <v>98</v>
      </c>
      <c r="F68">
        <f t="shared" si="3"/>
        <v>0</v>
      </c>
      <c r="H68">
        <f t="shared" si="4"/>
        <v>0</v>
      </c>
      <c r="J68">
        <f t="shared" si="5"/>
        <v>0</v>
      </c>
    </row>
    <row r="69" spans="2:10" x14ac:dyDescent="0.25">
      <c r="B69" t="s">
        <v>60</v>
      </c>
      <c r="C69">
        <v>3.6</v>
      </c>
      <c r="D69" t="s">
        <v>102</v>
      </c>
      <c r="F69">
        <f t="shared" si="3"/>
        <v>0</v>
      </c>
      <c r="H69">
        <f t="shared" si="4"/>
        <v>0</v>
      </c>
      <c r="J69">
        <f t="shared" si="5"/>
        <v>0</v>
      </c>
    </row>
    <row r="70" spans="2:10" x14ac:dyDescent="0.25">
      <c r="B70" t="s">
        <v>61</v>
      </c>
      <c r="C70">
        <v>3</v>
      </c>
      <c r="D70" t="s">
        <v>98</v>
      </c>
      <c r="F70">
        <f t="shared" si="3"/>
        <v>0</v>
      </c>
      <c r="H70">
        <f t="shared" si="4"/>
        <v>0</v>
      </c>
      <c r="J70">
        <f t="shared" si="5"/>
        <v>0</v>
      </c>
    </row>
    <row r="71" spans="2:10" x14ac:dyDescent="0.25">
      <c r="B71" t="s">
        <v>62</v>
      </c>
      <c r="C71">
        <v>1.4</v>
      </c>
      <c r="D71" t="s">
        <v>107</v>
      </c>
      <c r="F71">
        <f t="shared" si="3"/>
        <v>0</v>
      </c>
      <c r="H71">
        <f t="shared" si="4"/>
        <v>0</v>
      </c>
      <c r="J71">
        <f t="shared" si="5"/>
        <v>0</v>
      </c>
    </row>
    <row r="72" spans="2:10" x14ac:dyDescent="0.25">
      <c r="B72" t="s">
        <v>63</v>
      </c>
      <c r="C72">
        <v>2.8</v>
      </c>
      <c r="D72" t="s">
        <v>108</v>
      </c>
      <c r="F72">
        <f t="shared" si="3"/>
        <v>0</v>
      </c>
      <c r="H72">
        <f t="shared" si="4"/>
        <v>0</v>
      </c>
      <c r="J72">
        <f t="shared" si="5"/>
        <v>0</v>
      </c>
    </row>
    <row r="73" spans="2:10" x14ac:dyDescent="0.25">
      <c r="B73" t="s">
        <v>64</v>
      </c>
      <c r="C73">
        <v>2.4</v>
      </c>
      <c r="D73" t="s">
        <v>98</v>
      </c>
      <c r="F73">
        <f t="shared" si="3"/>
        <v>0</v>
      </c>
      <c r="H73">
        <f t="shared" si="4"/>
        <v>0</v>
      </c>
      <c r="J73">
        <f t="shared" si="5"/>
        <v>0</v>
      </c>
    </row>
    <row r="74" spans="2:10" x14ac:dyDescent="0.25">
      <c r="B74" t="s">
        <v>65</v>
      </c>
      <c r="C74">
        <v>2.4</v>
      </c>
      <c r="D74" t="s">
        <v>98</v>
      </c>
      <c r="F74">
        <f t="shared" si="3"/>
        <v>0</v>
      </c>
      <c r="H74">
        <f t="shared" si="4"/>
        <v>0</v>
      </c>
      <c r="J74">
        <f t="shared" si="5"/>
        <v>0</v>
      </c>
    </row>
    <row r="75" spans="2:10" x14ac:dyDescent="0.25">
      <c r="B75" t="s">
        <v>66</v>
      </c>
      <c r="C75">
        <v>2.8</v>
      </c>
      <c r="D75" t="s">
        <v>98</v>
      </c>
      <c r="F75">
        <f t="shared" si="3"/>
        <v>0</v>
      </c>
      <c r="H75">
        <f t="shared" si="4"/>
        <v>0</v>
      </c>
      <c r="J75">
        <f t="shared" si="5"/>
        <v>0</v>
      </c>
    </row>
    <row r="76" spans="2:10" x14ac:dyDescent="0.25">
      <c r="B76" t="s">
        <v>67</v>
      </c>
      <c r="C76">
        <v>2</v>
      </c>
      <c r="D76" t="s">
        <v>98</v>
      </c>
      <c r="E76">
        <v>0.5</v>
      </c>
      <c r="F76">
        <f t="shared" si="3"/>
        <v>1</v>
      </c>
      <c r="H76">
        <f t="shared" si="4"/>
        <v>0</v>
      </c>
      <c r="J76">
        <f t="shared" si="5"/>
        <v>0</v>
      </c>
    </row>
    <row r="77" spans="2:10" x14ac:dyDescent="0.25">
      <c r="B77" t="s">
        <v>68</v>
      </c>
      <c r="C77">
        <v>2.8</v>
      </c>
      <c r="D77" t="s">
        <v>106</v>
      </c>
      <c r="F77">
        <f t="shared" si="3"/>
        <v>0</v>
      </c>
      <c r="H77">
        <f t="shared" si="4"/>
        <v>0</v>
      </c>
      <c r="J77">
        <f t="shared" si="5"/>
        <v>0</v>
      </c>
    </row>
    <row r="78" spans="2:10" x14ac:dyDescent="0.25">
      <c r="B78" t="s">
        <v>69</v>
      </c>
      <c r="C78">
        <v>2.9</v>
      </c>
      <c r="D78" t="s">
        <v>99</v>
      </c>
      <c r="F78">
        <f t="shared" si="3"/>
        <v>0</v>
      </c>
      <c r="H78">
        <f t="shared" si="4"/>
        <v>0</v>
      </c>
      <c r="I78">
        <v>1</v>
      </c>
      <c r="J78">
        <f t="shared" si="5"/>
        <v>2.9</v>
      </c>
    </row>
    <row r="79" spans="2:10" x14ac:dyDescent="0.25">
      <c r="B79" t="s">
        <v>70</v>
      </c>
      <c r="C79">
        <v>12</v>
      </c>
      <c r="D79" t="s">
        <v>99</v>
      </c>
      <c r="F79">
        <f t="shared" si="3"/>
        <v>0</v>
      </c>
      <c r="H79">
        <f t="shared" si="4"/>
        <v>0</v>
      </c>
      <c r="J79">
        <f t="shared" si="5"/>
        <v>0</v>
      </c>
    </row>
    <row r="80" spans="2:10" x14ac:dyDescent="0.25">
      <c r="B80" t="s">
        <v>71</v>
      </c>
      <c r="C80">
        <v>3.5</v>
      </c>
      <c r="D80" t="s">
        <v>104</v>
      </c>
      <c r="F80">
        <f t="shared" si="3"/>
        <v>0</v>
      </c>
      <c r="H80">
        <f t="shared" si="4"/>
        <v>0</v>
      </c>
      <c r="J80">
        <f t="shared" si="5"/>
        <v>0</v>
      </c>
    </row>
    <row r="81" spans="2:10" x14ac:dyDescent="0.25">
      <c r="B81" t="s">
        <v>72</v>
      </c>
      <c r="C81">
        <v>2.4</v>
      </c>
      <c r="D81" t="s">
        <v>98</v>
      </c>
      <c r="F81">
        <f t="shared" si="3"/>
        <v>0</v>
      </c>
      <c r="H81">
        <f t="shared" si="4"/>
        <v>0</v>
      </c>
      <c r="I81">
        <v>0.5</v>
      </c>
      <c r="J81">
        <f t="shared" si="5"/>
        <v>1.2</v>
      </c>
    </row>
    <row r="82" spans="2:10" x14ac:dyDescent="0.25">
      <c r="B82" t="s">
        <v>73</v>
      </c>
      <c r="C82">
        <v>2.4</v>
      </c>
      <c r="D82" t="s">
        <v>98</v>
      </c>
      <c r="F82">
        <f t="shared" si="3"/>
        <v>0</v>
      </c>
      <c r="H82">
        <f t="shared" si="4"/>
        <v>0</v>
      </c>
      <c r="J82">
        <f t="shared" si="5"/>
        <v>0</v>
      </c>
    </row>
    <row r="83" spans="2:10" x14ac:dyDescent="0.25">
      <c r="B83" t="s">
        <v>74</v>
      </c>
      <c r="C83">
        <v>1.2</v>
      </c>
      <c r="D83" t="s">
        <v>104</v>
      </c>
      <c r="F83">
        <f t="shared" si="3"/>
        <v>0</v>
      </c>
      <c r="H83">
        <f t="shared" si="4"/>
        <v>0</v>
      </c>
      <c r="J83">
        <f t="shared" si="5"/>
        <v>0</v>
      </c>
    </row>
    <row r="84" spans="2:10" x14ac:dyDescent="0.25">
      <c r="B84" t="s">
        <v>75</v>
      </c>
      <c r="C84">
        <v>1.5</v>
      </c>
      <c r="D84" t="s">
        <v>109</v>
      </c>
      <c r="F84">
        <f t="shared" si="3"/>
        <v>0</v>
      </c>
      <c r="H84">
        <f t="shared" si="4"/>
        <v>0</v>
      </c>
      <c r="J84">
        <f t="shared" si="5"/>
        <v>0</v>
      </c>
    </row>
    <row r="85" spans="2:10" x14ac:dyDescent="0.25">
      <c r="B85" t="s">
        <v>76</v>
      </c>
      <c r="C85">
        <v>3.6</v>
      </c>
      <c r="D85" t="s">
        <v>101</v>
      </c>
      <c r="F85">
        <f t="shared" si="3"/>
        <v>0</v>
      </c>
      <c r="H85">
        <f t="shared" si="4"/>
        <v>0</v>
      </c>
      <c r="J85">
        <f t="shared" si="5"/>
        <v>0</v>
      </c>
    </row>
    <row r="86" spans="2:10" x14ac:dyDescent="0.25">
      <c r="B86" t="s">
        <v>77</v>
      </c>
      <c r="C86">
        <v>1</v>
      </c>
      <c r="D86" t="s">
        <v>100</v>
      </c>
      <c r="F86">
        <f t="shared" si="3"/>
        <v>0</v>
      </c>
      <c r="H86">
        <f t="shared" si="4"/>
        <v>0</v>
      </c>
      <c r="J86">
        <f t="shared" si="5"/>
        <v>0</v>
      </c>
    </row>
    <row r="87" spans="2:10" x14ac:dyDescent="0.25">
      <c r="B87" t="s">
        <v>78</v>
      </c>
      <c r="C87">
        <v>1.1000000000000001</v>
      </c>
      <c r="D87" t="s">
        <v>110</v>
      </c>
      <c r="F87">
        <f t="shared" si="3"/>
        <v>0</v>
      </c>
      <c r="H87">
        <f t="shared" si="4"/>
        <v>0</v>
      </c>
      <c r="I87">
        <v>1</v>
      </c>
      <c r="J87">
        <f t="shared" si="5"/>
        <v>1.1000000000000001</v>
      </c>
    </row>
    <row r="88" spans="2:10" x14ac:dyDescent="0.25">
      <c r="B88" t="s">
        <v>79</v>
      </c>
      <c r="C88">
        <v>2.5</v>
      </c>
      <c r="D88" t="s">
        <v>111</v>
      </c>
      <c r="F88">
        <f t="shared" si="3"/>
        <v>0</v>
      </c>
      <c r="H88">
        <f t="shared" si="4"/>
        <v>0</v>
      </c>
      <c r="J88">
        <f t="shared" si="5"/>
        <v>0</v>
      </c>
    </row>
    <row r="89" spans="2:10" x14ac:dyDescent="0.25">
      <c r="B89" t="s">
        <v>80</v>
      </c>
      <c r="C89">
        <v>2.5</v>
      </c>
      <c r="D89" t="s">
        <v>111</v>
      </c>
      <c r="F89">
        <f t="shared" si="3"/>
        <v>0</v>
      </c>
      <c r="H89">
        <f t="shared" si="4"/>
        <v>0</v>
      </c>
      <c r="J89">
        <f t="shared" si="5"/>
        <v>0</v>
      </c>
    </row>
    <row r="90" spans="2:10" x14ac:dyDescent="0.25">
      <c r="B90" t="s">
        <v>81</v>
      </c>
      <c r="C90">
        <v>2.5</v>
      </c>
      <c r="D90" t="s">
        <v>111</v>
      </c>
      <c r="F90">
        <f t="shared" si="3"/>
        <v>0</v>
      </c>
      <c r="H90">
        <f t="shared" si="4"/>
        <v>0</v>
      </c>
      <c r="J90">
        <f t="shared" si="5"/>
        <v>0</v>
      </c>
    </row>
    <row r="91" spans="2:10" x14ac:dyDescent="0.25">
      <c r="B91" t="s">
        <v>82</v>
      </c>
      <c r="C91">
        <v>2.5</v>
      </c>
      <c r="D91" t="s">
        <v>111</v>
      </c>
      <c r="F91">
        <f t="shared" si="3"/>
        <v>0</v>
      </c>
      <c r="H91">
        <f t="shared" si="4"/>
        <v>0</v>
      </c>
      <c r="J91">
        <f t="shared" si="5"/>
        <v>0</v>
      </c>
    </row>
    <row r="92" spans="2:10" x14ac:dyDescent="0.25">
      <c r="B92" t="s">
        <v>83</v>
      </c>
      <c r="C92">
        <v>1.2</v>
      </c>
      <c r="D92" t="s">
        <v>106</v>
      </c>
      <c r="E92">
        <v>1</v>
      </c>
      <c r="F92">
        <f t="shared" si="3"/>
        <v>1.2</v>
      </c>
      <c r="H92">
        <f t="shared" si="4"/>
        <v>0</v>
      </c>
      <c r="J92">
        <f t="shared" si="5"/>
        <v>0</v>
      </c>
    </row>
    <row r="93" spans="2:10" x14ac:dyDescent="0.25">
      <c r="B93" t="s">
        <v>84</v>
      </c>
      <c r="C93">
        <v>1.2</v>
      </c>
      <c r="D93" t="s">
        <v>106</v>
      </c>
      <c r="E93">
        <v>1</v>
      </c>
      <c r="F93">
        <f t="shared" si="3"/>
        <v>1.2</v>
      </c>
      <c r="H93">
        <f t="shared" si="4"/>
        <v>0</v>
      </c>
      <c r="J93">
        <f t="shared" si="5"/>
        <v>0</v>
      </c>
    </row>
    <row r="94" spans="2:10" x14ac:dyDescent="0.25">
      <c r="B94" t="s">
        <v>85</v>
      </c>
      <c r="C94">
        <v>1.5</v>
      </c>
      <c r="D94" t="s">
        <v>106</v>
      </c>
      <c r="F94">
        <f t="shared" si="3"/>
        <v>0</v>
      </c>
      <c r="H94">
        <f t="shared" si="4"/>
        <v>0</v>
      </c>
      <c r="J94">
        <f t="shared" si="5"/>
        <v>0</v>
      </c>
    </row>
    <row r="95" spans="2:10" x14ac:dyDescent="0.25">
      <c r="B95" t="s">
        <v>86</v>
      </c>
      <c r="C95">
        <v>4.9000000000000004</v>
      </c>
      <c r="D95" t="s">
        <v>112</v>
      </c>
      <c r="F95">
        <f t="shared" si="3"/>
        <v>0</v>
      </c>
      <c r="H95">
        <f t="shared" si="4"/>
        <v>0</v>
      </c>
      <c r="J95">
        <f t="shared" si="5"/>
        <v>0</v>
      </c>
    </row>
    <row r="96" spans="2:10" x14ac:dyDescent="0.25">
      <c r="B96" t="s">
        <v>87</v>
      </c>
      <c r="C96">
        <v>4.9000000000000004</v>
      </c>
      <c r="D96" t="s">
        <v>112</v>
      </c>
      <c r="F96">
        <f t="shared" si="3"/>
        <v>0</v>
      </c>
      <c r="H96">
        <f t="shared" si="4"/>
        <v>0</v>
      </c>
      <c r="J96">
        <f t="shared" si="5"/>
        <v>0</v>
      </c>
    </row>
    <row r="97" spans="2:10" x14ac:dyDescent="0.25">
      <c r="B97" t="s">
        <v>88</v>
      </c>
      <c r="C97">
        <v>5.3</v>
      </c>
      <c r="D97" t="s">
        <v>113</v>
      </c>
      <c r="F97">
        <f t="shared" si="3"/>
        <v>0</v>
      </c>
      <c r="H97">
        <f t="shared" si="4"/>
        <v>0</v>
      </c>
      <c r="J97">
        <f t="shared" si="5"/>
        <v>0</v>
      </c>
    </row>
    <row r="98" spans="2:10" x14ac:dyDescent="0.25">
      <c r="B98" t="s">
        <v>89</v>
      </c>
      <c r="C98">
        <v>13.8</v>
      </c>
      <c r="D98" t="s">
        <v>112</v>
      </c>
      <c r="F98">
        <f t="shared" si="3"/>
        <v>0</v>
      </c>
      <c r="H98">
        <f t="shared" si="4"/>
        <v>0</v>
      </c>
      <c r="J98">
        <f t="shared" si="5"/>
        <v>0</v>
      </c>
    </row>
    <row r="99" spans="2:10" x14ac:dyDescent="0.25">
      <c r="B99" t="s">
        <v>90</v>
      </c>
      <c r="C99">
        <v>4.8</v>
      </c>
      <c r="D99" t="s">
        <v>114</v>
      </c>
      <c r="F99">
        <f t="shared" si="3"/>
        <v>0</v>
      </c>
      <c r="H99">
        <f t="shared" si="4"/>
        <v>0</v>
      </c>
      <c r="J99">
        <f t="shared" si="5"/>
        <v>0</v>
      </c>
    </row>
    <row r="100" spans="2:10" x14ac:dyDescent="0.25">
      <c r="B100" t="s">
        <v>91</v>
      </c>
      <c r="C100">
        <v>4.8</v>
      </c>
      <c r="D100" t="s">
        <v>114</v>
      </c>
      <c r="F100">
        <f t="shared" si="3"/>
        <v>0</v>
      </c>
      <c r="H100">
        <f t="shared" si="4"/>
        <v>0</v>
      </c>
      <c r="J100">
        <f t="shared" si="5"/>
        <v>0</v>
      </c>
    </row>
    <row r="101" spans="2:10" x14ac:dyDescent="0.25">
      <c r="B101" t="s">
        <v>92</v>
      </c>
      <c r="C101">
        <v>4.8</v>
      </c>
      <c r="D101" t="s">
        <v>114</v>
      </c>
      <c r="F101">
        <f t="shared" si="3"/>
        <v>0</v>
      </c>
      <c r="H101">
        <f t="shared" si="4"/>
        <v>0</v>
      </c>
      <c r="J101">
        <f t="shared" si="5"/>
        <v>0</v>
      </c>
    </row>
    <row r="102" spans="2:10" x14ac:dyDescent="0.25">
      <c r="B102" t="s">
        <v>93</v>
      </c>
      <c r="C102">
        <v>3.9</v>
      </c>
      <c r="D102" t="s">
        <v>114</v>
      </c>
      <c r="F102">
        <f t="shared" si="3"/>
        <v>0</v>
      </c>
      <c r="H102">
        <f t="shared" si="4"/>
        <v>0</v>
      </c>
      <c r="J102">
        <f t="shared" si="5"/>
        <v>0</v>
      </c>
    </row>
    <row r="103" spans="2:10" x14ac:dyDescent="0.25">
      <c r="B103" t="s">
        <v>94</v>
      </c>
      <c r="C103">
        <v>3.5</v>
      </c>
      <c r="D103" t="s">
        <v>114</v>
      </c>
      <c r="F103">
        <f t="shared" si="3"/>
        <v>0</v>
      </c>
      <c r="H103">
        <f t="shared" si="4"/>
        <v>0</v>
      </c>
      <c r="J103">
        <f t="shared" si="5"/>
        <v>0</v>
      </c>
    </row>
    <row r="104" spans="2:10" x14ac:dyDescent="0.25">
      <c r="B104" t="s">
        <v>95</v>
      </c>
      <c r="C104">
        <v>2.9</v>
      </c>
      <c r="D104" t="s">
        <v>114</v>
      </c>
      <c r="F104">
        <f t="shared" si="3"/>
        <v>0</v>
      </c>
      <c r="H104">
        <f t="shared" si="4"/>
        <v>0</v>
      </c>
      <c r="J104">
        <f t="shared" si="5"/>
        <v>0</v>
      </c>
    </row>
    <row r="105" spans="2:10" x14ac:dyDescent="0.25">
      <c r="B105" t="s">
        <v>96</v>
      </c>
      <c r="C105">
        <v>0.5</v>
      </c>
      <c r="D105" t="s">
        <v>102</v>
      </c>
      <c r="E105">
        <v>6</v>
      </c>
      <c r="F105">
        <f t="shared" si="3"/>
        <v>3</v>
      </c>
      <c r="H105">
        <f t="shared" si="4"/>
        <v>0</v>
      </c>
      <c r="I105">
        <v>6</v>
      </c>
      <c r="J105">
        <f t="shared" si="5"/>
        <v>3</v>
      </c>
    </row>
    <row r="106" spans="2:10" x14ac:dyDescent="0.25">
      <c r="B106" t="s">
        <v>97</v>
      </c>
      <c r="C106">
        <v>10</v>
      </c>
      <c r="D106" t="s">
        <v>115</v>
      </c>
      <c r="F106">
        <f t="shared" si="3"/>
        <v>0</v>
      </c>
      <c r="H106">
        <f t="shared" si="4"/>
        <v>0</v>
      </c>
      <c r="J106">
        <f t="shared" si="5"/>
        <v>0</v>
      </c>
    </row>
    <row r="107" spans="2:10" x14ac:dyDescent="0.25">
      <c r="C107">
        <v>19</v>
      </c>
      <c r="D107" t="s">
        <v>116</v>
      </c>
      <c r="F107">
        <f t="shared" si="3"/>
        <v>0</v>
      </c>
      <c r="H107">
        <f t="shared" si="4"/>
        <v>0</v>
      </c>
      <c r="J107">
        <f t="shared" si="5"/>
        <v>0</v>
      </c>
    </row>
    <row r="108" spans="2:10" x14ac:dyDescent="0.25">
      <c r="F108">
        <f>SUM(F3:F107)</f>
        <v>32.400000000000006</v>
      </c>
      <c r="H108">
        <f>SUM(H3:H107)</f>
        <v>0</v>
      </c>
      <c r="J108">
        <f>SUM(J3:J107)</f>
        <v>51.199999999999996</v>
      </c>
    </row>
  </sheetData>
  <pageMargins left="0.7" right="0.7" top="0.75" bottom="0.75" header="0.3" footer="0.3"/>
  <pageSetup orientation="portrait" r:id="rId1"/>
  <headerFooter>
    <oddFooter>&amp;L_x000D_&amp;1#&amp;"Aptos"&amp;10&amp;K000000 TLP:AMBER - vertraulich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CD12D-13B1-4162-8515-687E89D231B6}">
  <dimension ref="A3:A126"/>
  <sheetViews>
    <sheetView workbookViewId="0">
      <selection activeCell="J5" sqref="J5"/>
    </sheetView>
  </sheetViews>
  <sheetFormatPr baseColWidth="10" defaultRowHeight="15" x14ac:dyDescent="0.25"/>
  <sheetData>
    <row r="3" spans="1:1" x14ac:dyDescent="0.25">
      <c r="A3" t="s">
        <v>123</v>
      </c>
    </row>
    <row r="5" spans="1:1" x14ac:dyDescent="0.25">
      <c r="A5" t="s">
        <v>124</v>
      </c>
    </row>
    <row r="6" spans="1:1" x14ac:dyDescent="0.25">
      <c r="A6" t="s">
        <v>135</v>
      </c>
    </row>
    <row r="8" spans="1:1" x14ac:dyDescent="0.25">
      <c r="A8" t="s">
        <v>125</v>
      </c>
    </row>
    <row r="9" spans="1:1" x14ac:dyDescent="0.25">
      <c r="A9" t="s">
        <v>126</v>
      </c>
    </row>
    <row r="11" spans="1:1" x14ac:dyDescent="0.25">
      <c r="A11" t="s">
        <v>127</v>
      </c>
    </row>
    <row r="14" spans="1:1" x14ac:dyDescent="0.25">
      <c r="A14" t="s">
        <v>128</v>
      </c>
    </row>
    <row r="15" spans="1:1" x14ac:dyDescent="0.25">
      <c r="A15" t="s">
        <v>129</v>
      </c>
    </row>
    <row r="18" spans="1:1" x14ac:dyDescent="0.25">
      <c r="A18" t="s">
        <v>136</v>
      </c>
    </row>
    <row r="22" spans="1:1" x14ac:dyDescent="0.25">
      <c r="A22" t="s">
        <v>0</v>
      </c>
    </row>
    <row r="23" spans="1:1" x14ac:dyDescent="0.25">
      <c r="A23" t="s">
        <v>130</v>
      </c>
    </row>
    <row r="24" spans="1:1" x14ac:dyDescent="0.25">
      <c r="A24" t="s">
        <v>131</v>
      </c>
    </row>
    <row r="26" spans="1:1" x14ac:dyDescent="0.25">
      <c r="A26" t="s">
        <v>132</v>
      </c>
    </row>
    <row r="27" spans="1:1" x14ac:dyDescent="0.25">
      <c r="A27" t="s">
        <v>133</v>
      </c>
    </row>
    <row r="28" spans="1:1" x14ac:dyDescent="0.25">
      <c r="A28" t="s">
        <v>134</v>
      </c>
    </row>
    <row r="29" spans="1:1" x14ac:dyDescent="0.25">
      <c r="A29" t="s">
        <v>137</v>
      </c>
    </row>
    <row r="30" spans="1:1" x14ac:dyDescent="0.25">
      <c r="A30" t="s">
        <v>138</v>
      </c>
    </row>
    <row r="31" spans="1:1" x14ac:dyDescent="0.25">
      <c r="A31" t="s">
        <v>139</v>
      </c>
    </row>
    <row r="32" spans="1:1" x14ac:dyDescent="0.25">
      <c r="A32" t="s">
        <v>140</v>
      </c>
    </row>
    <row r="33" spans="1:1" x14ac:dyDescent="0.25">
      <c r="A33" t="s">
        <v>141</v>
      </c>
    </row>
    <row r="34" spans="1:1" x14ac:dyDescent="0.25">
      <c r="A34" t="s">
        <v>142</v>
      </c>
    </row>
    <row r="36" spans="1:1" x14ac:dyDescent="0.25">
      <c r="A36" t="s">
        <v>143</v>
      </c>
    </row>
    <row r="37" spans="1:1" x14ac:dyDescent="0.25">
      <c r="A37" t="s">
        <v>144</v>
      </c>
    </row>
    <row r="38" spans="1:1" x14ac:dyDescent="0.25">
      <c r="A38" t="s">
        <v>145</v>
      </c>
    </row>
    <row r="39" spans="1:1" x14ac:dyDescent="0.25">
      <c r="A39" t="s">
        <v>146</v>
      </c>
    </row>
    <row r="40" spans="1:1" x14ac:dyDescent="0.25">
      <c r="A40" t="s">
        <v>147</v>
      </c>
    </row>
    <row r="41" spans="1:1" x14ac:dyDescent="0.25">
      <c r="A41" t="s">
        <v>148</v>
      </c>
    </row>
    <row r="42" spans="1:1" x14ac:dyDescent="0.25">
      <c r="A42" t="s">
        <v>149</v>
      </c>
    </row>
    <row r="43" spans="1:1" x14ac:dyDescent="0.25">
      <c r="A43" t="s">
        <v>150</v>
      </c>
    </row>
    <row r="44" spans="1:1" x14ac:dyDescent="0.25">
      <c r="A44" t="s">
        <v>151</v>
      </c>
    </row>
    <row r="45" spans="1:1" x14ac:dyDescent="0.25">
      <c r="A45" t="s">
        <v>152</v>
      </c>
    </row>
    <row r="46" spans="1:1" x14ac:dyDescent="0.25">
      <c r="A46" t="s">
        <v>153</v>
      </c>
    </row>
    <row r="47" spans="1:1" x14ac:dyDescent="0.25">
      <c r="A47" t="s">
        <v>154</v>
      </c>
    </row>
    <row r="48" spans="1:1" x14ac:dyDescent="0.25">
      <c r="A48" t="s">
        <v>155</v>
      </c>
    </row>
    <row r="49" spans="1:1" x14ac:dyDescent="0.25">
      <c r="A49" t="s">
        <v>156</v>
      </c>
    </row>
    <row r="50" spans="1:1" x14ac:dyDescent="0.25">
      <c r="A50" t="s">
        <v>157</v>
      </c>
    </row>
    <row r="51" spans="1:1" x14ac:dyDescent="0.25">
      <c r="A51" t="s">
        <v>158</v>
      </c>
    </row>
    <row r="52" spans="1:1" x14ac:dyDescent="0.25">
      <c r="A52" t="s">
        <v>159</v>
      </c>
    </row>
    <row r="54" spans="1:1" x14ac:dyDescent="0.25">
      <c r="A54" t="s">
        <v>160</v>
      </c>
    </row>
    <row r="55" spans="1:1" x14ac:dyDescent="0.25">
      <c r="A55" t="s">
        <v>161</v>
      </c>
    </row>
    <row r="56" spans="1:1" x14ac:dyDescent="0.25">
      <c r="A56" t="s">
        <v>162</v>
      </c>
    </row>
    <row r="57" spans="1:1" x14ac:dyDescent="0.25">
      <c r="A57" t="s">
        <v>163</v>
      </c>
    </row>
    <row r="58" spans="1:1" x14ac:dyDescent="0.25">
      <c r="A58" t="s">
        <v>164</v>
      </c>
    </row>
    <row r="59" spans="1:1" x14ac:dyDescent="0.25">
      <c r="A59" t="s">
        <v>165</v>
      </c>
    </row>
    <row r="60" spans="1:1" x14ac:dyDescent="0.25">
      <c r="A60" t="s">
        <v>166</v>
      </c>
    </row>
    <row r="61" spans="1:1" x14ac:dyDescent="0.25">
      <c r="A61" t="s">
        <v>167</v>
      </c>
    </row>
    <row r="62" spans="1:1" x14ac:dyDescent="0.25">
      <c r="A62" t="s">
        <v>168</v>
      </c>
    </row>
    <row r="63" spans="1:1" x14ac:dyDescent="0.25">
      <c r="A63" t="s">
        <v>169</v>
      </c>
    </row>
    <row r="64" spans="1:1" x14ac:dyDescent="0.25">
      <c r="A64" t="s">
        <v>170</v>
      </c>
    </row>
    <row r="65" spans="1:1" x14ac:dyDescent="0.25">
      <c r="A65" t="s">
        <v>171</v>
      </c>
    </row>
    <row r="66" spans="1:1" x14ac:dyDescent="0.25">
      <c r="A66" t="s">
        <v>172</v>
      </c>
    </row>
    <row r="67" spans="1:1" x14ac:dyDescent="0.25">
      <c r="A67" t="s">
        <v>173</v>
      </c>
    </row>
    <row r="68" spans="1:1" x14ac:dyDescent="0.25">
      <c r="A68" t="s">
        <v>174</v>
      </c>
    </row>
    <row r="70" spans="1:1" x14ac:dyDescent="0.25">
      <c r="A70" t="s">
        <v>175</v>
      </c>
    </row>
    <row r="71" spans="1:1" x14ac:dyDescent="0.25">
      <c r="A71" t="s">
        <v>176</v>
      </c>
    </row>
    <row r="72" spans="1:1" x14ac:dyDescent="0.25">
      <c r="A72" t="s">
        <v>177</v>
      </c>
    </row>
    <row r="73" spans="1:1" x14ac:dyDescent="0.25">
      <c r="A73" t="s">
        <v>178</v>
      </c>
    </row>
    <row r="74" spans="1:1" x14ac:dyDescent="0.25">
      <c r="A74" t="s">
        <v>179</v>
      </c>
    </row>
    <row r="75" spans="1:1" x14ac:dyDescent="0.25">
      <c r="A75" t="s">
        <v>180</v>
      </c>
    </row>
    <row r="77" spans="1:1" x14ac:dyDescent="0.25">
      <c r="A77" t="s">
        <v>181</v>
      </c>
    </row>
    <row r="78" spans="1:1" x14ac:dyDescent="0.25">
      <c r="A78" t="s">
        <v>182</v>
      </c>
    </row>
    <row r="79" spans="1:1" x14ac:dyDescent="0.25">
      <c r="A79" t="s">
        <v>183</v>
      </c>
    </row>
    <row r="80" spans="1:1" x14ac:dyDescent="0.25">
      <c r="A80" t="s">
        <v>184</v>
      </c>
    </row>
    <row r="81" spans="1:1" x14ac:dyDescent="0.25">
      <c r="A81" t="s">
        <v>185</v>
      </c>
    </row>
    <row r="82" spans="1:1" x14ac:dyDescent="0.25">
      <c r="A82" t="s">
        <v>186</v>
      </c>
    </row>
    <row r="83" spans="1:1" x14ac:dyDescent="0.25">
      <c r="A83" t="s">
        <v>187</v>
      </c>
    </row>
    <row r="84" spans="1:1" x14ac:dyDescent="0.25">
      <c r="A84" t="s">
        <v>188</v>
      </c>
    </row>
    <row r="85" spans="1:1" x14ac:dyDescent="0.25">
      <c r="A85" t="s">
        <v>189</v>
      </c>
    </row>
    <row r="86" spans="1:1" x14ac:dyDescent="0.25">
      <c r="A86" t="s">
        <v>190</v>
      </c>
    </row>
    <row r="87" spans="1:1" x14ac:dyDescent="0.25">
      <c r="A87" t="s">
        <v>191</v>
      </c>
    </row>
    <row r="88" spans="1:1" x14ac:dyDescent="0.25">
      <c r="A88" t="s">
        <v>192</v>
      </c>
    </row>
    <row r="89" spans="1:1" x14ac:dyDescent="0.25">
      <c r="A89" t="s">
        <v>193</v>
      </c>
    </row>
    <row r="90" spans="1:1" x14ac:dyDescent="0.25">
      <c r="A90" t="s">
        <v>194</v>
      </c>
    </row>
    <row r="91" spans="1:1" x14ac:dyDescent="0.25">
      <c r="A91" t="s">
        <v>195</v>
      </c>
    </row>
    <row r="92" spans="1:1" x14ac:dyDescent="0.25">
      <c r="A92" t="s">
        <v>196</v>
      </c>
    </row>
    <row r="93" spans="1:1" x14ac:dyDescent="0.25">
      <c r="A93" t="s">
        <v>197</v>
      </c>
    </row>
    <row r="94" spans="1:1" x14ac:dyDescent="0.25">
      <c r="A94" t="s">
        <v>198</v>
      </c>
    </row>
    <row r="95" spans="1:1" x14ac:dyDescent="0.25">
      <c r="A95" t="s">
        <v>199</v>
      </c>
    </row>
    <row r="96" spans="1:1" x14ac:dyDescent="0.25">
      <c r="A96" t="s">
        <v>200</v>
      </c>
    </row>
    <row r="97" spans="1:1" x14ac:dyDescent="0.25">
      <c r="A97" t="s">
        <v>201</v>
      </c>
    </row>
    <row r="98" spans="1:1" x14ac:dyDescent="0.25">
      <c r="A98" t="s">
        <v>202</v>
      </c>
    </row>
    <row r="99" spans="1:1" x14ac:dyDescent="0.25">
      <c r="A99" t="s">
        <v>203</v>
      </c>
    </row>
    <row r="100" spans="1:1" x14ac:dyDescent="0.25">
      <c r="A100" t="s">
        <v>204</v>
      </c>
    </row>
    <row r="102" spans="1:1" x14ac:dyDescent="0.25">
      <c r="A102" t="s">
        <v>205</v>
      </c>
    </row>
    <row r="103" spans="1:1" x14ac:dyDescent="0.25">
      <c r="A103" t="s">
        <v>206</v>
      </c>
    </row>
    <row r="104" spans="1:1" x14ac:dyDescent="0.25">
      <c r="A104" t="s">
        <v>207</v>
      </c>
    </row>
    <row r="105" spans="1:1" x14ac:dyDescent="0.25">
      <c r="A105" t="s">
        <v>208</v>
      </c>
    </row>
    <row r="106" spans="1:1" x14ac:dyDescent="0.25">
      <c r="A106" t="s">
        <v>209</v>
      </c>
    </row>
    <row r="107" spans="1:1" x14ac:dyDescent="0.25">
      <c r="A107" t="s">
        <v>210</v>
      </c>
    </row>
    <row r="108" spans="1:1" x14ac:dyDescent="0.25">
      <c r="A108" t="s">
        <v>211</v>
      </c>
    </row>
    <row r="109" spans="1:1" x14ac:dyDescent="0.25">
      <c r="A109" t="s">
        <v>212</v>
      </c>
    </row>
    <row r="110" spans="1:1" x14ac:dyDescent="0.25">
      <c r="A110" t="s">
        <v>213</v>
      </c>
    </row>
    <row r="111" spans="1:1" x14ac:dyDescent="0.25">
      <c r="A111" t="s">
        <v>214</v>
      </c>
    </row>
    <row r="113" spans="1:1" x14ac:dyDescent="0.25">
      <c r="A113" t="s">
        <v>215</v>
      </c>
    </row>
    <row r="114" spans="1:1" x14ac:dyDescent="0.25">
      <c r="A114" t="s">
        <v>216</v>
      </c>
    </row>
    <row r="115" spans="1:1" x14ac:dyDescent="0.25">
      <c r="A115" t="s">
        <v>217</v>
      </c>
    </row>
    <row r="116" spans="1:1" x14ac:dyDescent="0.25">
      <c r="A116" t="s">
        <v>218</v>
      </c>
    </row>
    <row r="118" spans="1:1" x14ac:dyDescent="0.25">
      <c r="A118" t="s">
        <v>219</v>
      </c>
    </row>
    <row r="119" spans="1:1" x14ac:dyDescent="0.25">
      <c r="A119" t="s">
        <v>220</v>
      </c>
    </row>
    <row r="120" spans="1:1" x14ac:dyDescent="0.25">
      <c r="A120" t="s">
        <v>221</v>
      </c>
    </row>
    <row r="121" spans="1:1" x14ac:dyDescent="0.25">
      <c r="A121" t="s">
        <v>222</v>
      </c>
    </row>
    <row r="122" spans="1:1" x14ac:dyDescent="0.25">
      <c r="A122" t="s">
        <v>223</v>
      </c>
    </row>
    <row r="123" spans="1:1" x14ac:dyDescent="0.25">
      <c r="A123" t="s">
        <v>224</v>
      </c>
    </row>
    <row r="125" spans="1:1" x14ac:dyDescent="0.25">
      <c r="A125" t="s">
        <v>225</v>
      </c>
    </row>
    <row r="126" spans="1:1" x14ac:dyDescent="0.25">
      <c r="A126" t="s">
        <v>226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FED9A-722A-45D5-868C-6C45D6A711FE}">
  <dimension ref="A1:L104"/>
  <sheetViews>
    <sheetView workbookViewId="0">
      <selection activeCell="B104" sqref="B104"/>
    </sheetView>
  </sheetViews>
  <sheetFormatPr baseColWidth="10" defaultRowHeight="15" x14ac:dyDescent="0.25"/>
  <cols>
    <col min="1" max="1" width="14.140625" bestFit="1" customWidth="1"/>
    <col min="2" max="2" width="46.140625" bestFit="1" customWidth="1"/>
    <col min="3" max="3" width="17.140625" bestFit="1" customWidth="1"/>
    <col min="4" max="4" width="28" bestFit="1" customWidth="1"/>
    <col min="5" max="5" width="19.5703125" bestFit="1" customWidth="1"/>
    <col min="6" max="6" width="46.5703125" bestFit="1" customWidth="1"/>
    <col min="7" max="7" width="17" bestFit="1" customWidth="1"/>
    <col min="8" max="8" width="19" bestFit="1" customWidth="1"/>
    <col min="9" max="9" width="16.85546875" bestFit="1" customWidth="1"/>
    <col min="11" max="11" width="21.28515625" bestFit="1" customWidth="1"/>
    <col min="12" max="12" width="4" bestFit="1" customWidth="1"/>
  </cols>
  <sheetData>
    <row r="1" spans="1:12" ht="21" x14ac:dyDescent="0.35">
      <c r="A1" s="1" t="s">
        <v>227</v>
      </c>
      <c r="B1" s="1"/>
      <c r="C1" s="1"/>
      <c r="D1" s="1"/>
      <c r="E1" s="1"/>
      <c r="F1" s="1"/>
      <c r="G1" s="1"/>
      <c r="H1" s="1"/>
      <c r="I1" s="1"/>
      <c r="K1" s="5" t="s">
        <v>340</v>
      </c>
      <c r="L1" s="6"/>
    </row>
    <row r="2" spans="1:12" x14ac:dyDescent="0.25">
      <c r="A2" s="2" t="s">
        <v>228</v>
      </c>
      <c r="B2" s="2"/>
      <c r="C2" s="2"/>
      <c r="D2" s="2"/>
      <c r="E2" s="2"/>
      <c r="F2" s="2"/>
      <c r="G2" s="2"/>
      <c r="H2" s="2"/>
      <c r="I2" s="2"/>
      <c r="K2" s="6" t="s">
        <v>341</v>
      </c>
      <c r="L2" s="6">
        <f>ROWS(Abgleich_Tabelle1_Gemuese[Status])</f>
        <v>100</v>
      </c>
    </row>
    <row r="3" spans="1:12" x14ac:dyDescent="0.25">
      <c r="K3" s="6" t="s">
        <v>238</v>
      </c>
      <c r="L3" s="6">
        <f>COUNTIF(Abgleich_Tabelle1_Gemuese[Status],"OK*")</f>
        <v>100</v>
      </c>
    </row>
    <row r="4" spans="1:12" x14ac:dyDescent="0.25">
      <c r="A4" t="s">
        <v>229</v>
      </c>
      <c r="B4" t="s">
        <v>230</v>
      </c>
      <c r="C4" t="s">
        <v>231</v>
      </c>
      <c r="D4" t="s">
        <v>232</v>
      </c>
      <c r="E4" t="s">
        <v>233</v>
      </c>
      <c r="F4" t="s">
        <v>234</v>
      </c>
      <c r="G4" t="s">
        <v>235</v>
      </c>
      <c r="H4" t="s">
        <v>236</v>
      </c>
      <c r="I4" t="s">
        <v>237</v>
      </c>
      <c r="K4" s="6" t="s">
        <v>342</v>
      </c>
      <c r="L4" s="6">
        <f>COUNTIF(Abgleich_Tabelle1_Gemuese[Status],"Fehlt*")</f>
        <v>0</v>
      </c>
    </row>
    <row r="5" spans="1:12" x14ac:dyDescent="0.25">
      <c r="A5" s="4">
        <v>5</v>
      </c>
      <c r="B5" t="s">
        <v>122</v>
      </c>
      <c r="C5" s="3">
        <v>5</v>
      </c>
      <c r="D5" t="s">
        <v>99</v>
      </c>
      <c r="E5" s="4">
        <v>1</v>
      </c>
      <c r="F5" t="s">
        <v>122</v>
      </c>
      <c r="G5">
        <v>5</v>
      </c>
      <c r="H5" t="s">
        <v>99</v>
      </c>
      <c r="I5" t="s">
        <v>238</v>
      </c>
      <c r="K5" s="6" t="s">
        <v>339</v>
      </c>
      <c r="L5" s="6">
        <f>COUNTIF(Abgleich_Tabelle1_Gemuese[Status],"Preis*")</f>
        <v>0</v>
      </c>
    </row>
    <row r="6" spans="1:12" x14ac:dyDescent="0.25">
      <c r="A6" s="4">
        <v>6</v>
      </c>
      <c r="B6" t="s">
        <v>239</v>
      </c>
      <c r="C6" s="3">
        <v>7</v>
      </c>
      <c r="D6" t="s">
        <v>99</v>
      </c>
      <c r="E6" s="4">
        <v>1</v>
      </c>
      <c r="F6" t="s">
        <v>2</v>
      </c>
      <c r="G6">
        <v>7</v>
      </c>
      <c r="H6" t="s">
        <v>99</v>
      </c>
      <c r="I6" t="s">
        <v>238</v>
      </c>
      <c r="K6" s="6" t="s">
        <v>343</v>
      </c>
      <c r="L6" s="6">
        <f>COUNTIF(Abgleich_Tabelle1_Gemuese[Status],"Einheit*")</f>
        <v>0</v>
      </c>
    </row>
    <row r="7" spans="1:12" x14ac:dyDescent="0.25">
      <c r="A7" s="4">
        <v>8</v>
      </c>
      <c r="B7" t="s">
        <v>240</v>
      </c>
      <c r="C7" s="3">
        <v>3.6</v>
      </c>
      <c r="D7" t="s">
        <v>98</v>
      </c>
      <c r="E7" s="4">
        <v>1</v>
      </c>
      <c r="F7" t="s">
        <v>1</v>
      </c>
      <c r="G7">
        <v>3.6</v>
      </c>
      <c r="H7" t="s">
        <v>98</v>
      </c>
      <c r="I7" t="s">
        <v>238</v>
      </c>
    </row>
    <row r="8" spans="1:12" x14ac:dyDescent="0.25">
      <c r="A8" s="4">
        <v>9</v>
      </c>
      <c r="B8" t="s">
        <v>241</v>
      </c>
      <c r="C8" s="3">
        <v>2.4</v>
      </c>
      <c r="D8" t="s">
        <v>100</v>
      </c>
      <c r="E8" s="4">
        <v>1</v>
      </c>
      <c r="F8" t="s">
        <v>3</v>
      </c>
      <c r="G8">
        <v>2.4</v>
      </c>
      <c r="H8" t="s">
        <v>100</v>
      </c>
      <c r="I8" t="s">
        <v>238</v>
      </c>
    </row>
    <row r="9" spans="1:12" x14ac:dyDescent="0.25">
      <c r="A9" s="4">
        <v>14</v>
      </c>
      <c r="B9" t="s">
        <v>242</v>
      </c>
      <c r="C9" s="3">
        <v>1</v>
      </c>
      <c r="D9" t="s">
        <v>102</v>
      </c>
      <c r="E9" s="4">
        <v>1</v>
      </c>
      <c r="F9" t="s">
        <v>4</v>
      </c>
      <c r="G9">
        <v>1</v>
      </c>
      <c r="H9" t="s">
        <v>102</v>
      </c>
      <c r="I9" t="s">
        <v>238</v>
      </c>
    </row>
    <row r="10" spans="1:12" x14ac:dyDescent="0.25">
      <c r="A10" s="4">
        <v>15</v>
      </c>
      <c r="B10" t="s">
        <v>243</v>
      </c>
      <c r="C10" s="3">
        <v>1.3</v>
      </c>
      <c r="D10" t="s">
        <v>102</v>
      </c>
      <c r="E10" s="4">
        <v>1</v>
      </c>
      <c r="F10" t="s">
        <v>5</v>
      </c>
      <c r="G10">
        <v>1.3</v>
      </c>
      <c r="H10" t="s">
        <v>102</v>
      </c>
      <c r="I10" t="s">
        <v>238</v>
      </c>
    </row>
    <row r="11" spans="1:12" x14ac:dyDescent="0.25">
      <c r="A11" s="4">
        <v>18</v>
      </c>
      <c r="B11" t="s">
        <v>244</v>
      </c>
      <c r="C11" s="3">
        <v>3.9</v>
      </c>
      <c r="D11" t="s">
        <v>98</v>
      </c>
      <c r="E11" s="4">
        <v>1</v>
      </c>
      <c r="F11" t="s">
        <v>6</v>
      </c>
      <c r="G11">
        <v>3.9</v>
      </c>
      <c r="H11" t="s">
        <v>98</v>
      </c>
      <c r="I11" t="s">
        <v>238</v>
      </c>
    </row>
    <row r="12" spans="1:12" x14ac:dyDescent="0.25">
      <c r="A12" s="4">
        <v>23</v>
      </c>
      <c r="B12" t="s">
        <v>0</v>
      </c>
      <c r="C12" s="3">
        <v>4.9000000000000004</v>
      </c>
      <c r="D12" t="s">
        <v>245</v>
      </c>
      <c r="E12" s="4">
        <v>1</v>
      </c>
      <c r="F12" t="s">
        <v>0</v>
      </c>
      <c r="G12">
        <v>4.9000000000000004</v>
      </c>
      <c r="H12" t="s">
        <v>103</v>
      </c>
      <c r="I12" t="s">
        <v>238</v>
      </c>
    </row>
    <row r="13" spans="1:12" x14ac:dyDescent="0.25">
      <c r="A13" s="4">
        <v>23</v>
      </c>
      <c r="B13" t="s">
        <v>117</v>
      </c>
      <c r="C13" s="3">
        <v>1</v>
      </c>
      <c r="D13" t="s">
        <v>246</v>
      </c>
      <c r="E13" s="4">
        <v>1</v>
      </c>
      <c r="F13" t="s">
        <v>247</v>
      </c>
      <c r="G13">
        <v>1</v>
      </c>
      <c r="H13" t="s">
        <v>117</v>
      </c>
      <c r="I13" t="s">
        <v>238</v>
      </c>
    </row>
    <row r="14" spans="1:12" x14ac:dyDescent="0.25">
      <c r="A14" s="4">
        <v>29</v>
      </c>
      <c r="B14" t="s">
        <v>248</v>
      </c>
      <c r="C14" s="3">
        <v>1</v>
      </c>
      <c r="D14" t="s">
        <v>100</v>
      </c>
      <c r="E14" s="4">
        <v>1</v>
      </c>
      <c r="F14" t="s">
        <v>7</v>
      </c>
      <c r="G14">
        <v>1</v>
      </c>
      <c r="H14" t="s">
        <v>100</v>
      </c>
      <c r="I14" t="s">
        <v>238</v>
      </c>
    </row>
    <row r="15" spans="1:12" x14ac:dyDescent="0.25">
      <c r="A15" s="4">
        <v>30</v>
      </c>
      <c r="B15" t="s">
        <v>249</v>
      </c>
      <c r="C15" s="3">
        <v>2.6</v>
      </c>
      <c r="D15" t="s">
        <v>104</v>
      </c>
      <c r="E15" s="4">
        <v>1</v>
      </c>
      <c r="F15" t="s">
        <v>8</v>
      </c>
      <c r="G15">
        <v>2.6</v>
      </c>
      <c r="H15" t="s">
        <v>104</v>
      </c>
      <c r="I15" t="s">
        <v>238</v>
      </c>
    </row>
    <row r="16" spans="1:12" x14ac:dyDescent="0.25">
      <c r="A16" s="4">
        <v>31</v>
      </c>
      <c r="B16" t="s">
        <v>250</v>
      </c>
      <c r="C16" s="3">
        <v>4.5</v>
      </c>
      <c r="D16" t="s">
        <v>104</v>
      </c>
      <c r="E16" s="4">
        <v>1</v>
      </c>
      <c r="F16" t="s">
        <v>9</v>
      </c>
      <c r="G16">
        <v>4.5</v>
      </c>
      <c r="H16" t="s">
        <v>104</v>
      </c>
      <c r="I16" t="s">
        <v>238</v>
      </c>
    </row>
    <row r="17" spans="1:9" x14ac:dyDescent="0.25">
      <c r="A17" s="4">
        <v>32</v>
      </c>
      <c r="B17" t="s">
        <v>251</v>
      </c>
      <c r="C17" s="3">
        <v>4.8</v>
      </c>
      <c r="D17" t="s">
        <v>98</v>
      </c>
      <c r="E17" s="4">
        <v>1</v>
      </c>
      <c r="F17" t="s">
        <v>10</v>
      </c>
      <c r="G17">
        <v>4.8</v>
      </c>
      <c r="H17" t="s">
        <v>98</v>
      </c>
      <c r="I17" t="s">
        <v>238</v>
      </c>
    </row>
    <row r="18" spans="1:9" x14ac:dyDescent="0.25">
      <c r="A18" s="4">
        <v>33</v>
      </c>
      <c r="B18" t="s">
        <v>252</v>
      </c>
      <c r="C18" s="3">
        <v>3.6</v>
      </c>
      <c r="D18" t="s">
        <v>98</v>
      </c>
      <c r="E18" s="4">
        <v>1</v>
      </c>
      <c r="F18" t="s">
        <v>11</v>
      </c>
      <c r="G18">
        <v>3.6</v>
      </c>
      <c r="H18" t="s">
        <v>98</v>
      </c>
      <c r="I18" t="s">
        <v>238</v>
      </c>
    </row>
    <row r="19" spans="1:9" x14ac:dyDescent="0.25">
      <c r="A19" s="4">
        <v>34</v>
      </c>
      <c r="B19" t="s">
        <v>253</v>
      </c>
      <c r="C19" s="3">
        <v>2.8</v>
      </c>
      <c r="D19" t="s">
        <v>98</v>
      </c>
      <c r="E19" s="4">
        <v>1</v>
      </c>
      <c r="F19" t="s">
        <v>12</v>
      </c>
      <c r="G19">
        <v>2.8</v>
      </c>
      <c r="H19" t="s">
        <v>98</v>
      </c>
      <c r="I19" t="s">
        <v>238</v>
      </c>
    </row>
    <row r="20" spans="1:9" x14ac:dyDescent="0.25">
      <c r="A20" s="4">
        <v>36</v>
      </c>
      <c r="B20" t="s">
        <v>254</v>
      </c>
      <c r="C20" s="3">
        <v>6</v>
      </c>
      <c r="D20" t="s">
        <v>99</v>
      </c>
      <c r="E20" s="4">
        <v>1</v>
      </c>
      <c r="F20" t="s">
        <v>13</v>
      </c>
      <c r="G20">
        <v>6</v>
      </c>
      <c r="H20" t="s">
        <v>99</v>
      </c>
      <c r="I20" t="s">
        <v>238</v>
      </c>
    </row>
    <row r="21" spans="1:9" x14ac:dyDescent="0.25">
      <c r="A21" s="4">
        <v>37</v>
      </c>
      <c r="B21" t="s">
        <v>255</v>
      </c>
      <c r="C21" s="3">
        <v>4.5</v>
      </c>
      <c r="D21" t="s">
        <v>104</v>
      </c>
      <c r="E21" s="4">
        <v>1</v>
      </c>
      <c r="F21" t="s">
        <v>14</v>
      </c>
      <c r="G21">
        <v>4.5</v>
      </c>
      <c r="H21" t="s">
        <v>104</v>
      </c>
      <c r="I21" t="s">
        <v>238</v>
      </c>
    </row>
    <row r="22" spans="1:9" x14ac:dyDescent="0.25">
      <c r="A22" s="4">
        <v>38</v>
      </c>
      <c r="B22" t="s">
        <v>256</v>
      </c>
      <c r="C22" s="3">
        <v>4.5</v>
      </c>
      <c r="D22" t="s">
        <v>104</v>
      </c>
      <c r="E22" s="4">
        <v>1</v>
      </c>
      <c r="F22" t="s">
        <v>15</v>
      </c>
      <c r="G22">
        <v>4.5</v>
      </c>
      <c r="H22" t="s">
        <v>104</v>
      </c>
      <c r="I22" t="s">
        <v>238</v>
      </c>
    </row>
    <row r="23" spans="1:9" x14ac:dyDescent="0.25">
      <c r="A23" s="4">
        <v>39</v>
      </c>
      <c r="B23" t="s">
        <v>257</v>
      </c>
      <c r="C23" s="3">
        <v>6</v>
      </c>
      <c r="D23" t="s">
        <v>99</v>
      </c>
      <c r="E23" s="4">
        <v>1</v>
      </c>
      <c r="F23" t="s">
        <v>16</v>
      </c>
      <c r="G23">
        <v>6</v>
      </c>
      <c r="H23" t="s">
        <v>99</v>
      </c>
      <c r="I23" t="s">
        <v>238</v>
      </c>
    </row>
    <row r="24" spans="1:9" x14ac:dyDescent="0.25">
      <c r="A24" s="4">
        <v>40</v>
      </c>
      <c r="B24" t="s">
        <v>258</v>
      </c>
      <c r="C24" s="3">
        <v>2.8</v>
      </c>
      <c r="D24" t="s">
        <v>99</v>
      </c>
      <c r="E24" s="4">
        <v>1</v>
      </c>
      <c r="F24" t="s">
        <v>17</v>
      </c>
      <c r="G24">
        <v>2.8</v>
      </c>
      <c r="H24" t="s">
        <v>99</v>
      </c>
      <c r="I24" t="s">
        <v>238</v>
      </c>
    </row>
    <row r="25" spans="1:9" x14ac:dyDescent="0.25">
      <c r="A25" s="4">
        <v>41</v>
      </c>
      <c r="B25" t="s">
        <v>259</v>
      </c>
      <c r="C25" s="3">
        <v>1</v>
      </c>
      <c r="D25" t="s">
        <v>102</v>
      </c>
      <c r="E25" s="4">
        <v>1</v>
      </c>
      <c r="F25" t="s">
        <v>18</v>
      </c>
      <c r="G25">
        <v>1</v>
      </c>
      <c r="H25" t="s">
        <v>102</v>
      </c>
      <c r="I25" t="s">
        <v>238</v>
      </c>
    </row>
    <row r="26" spans="1:9" x14ac:dyDescent="0.25">
      <c r="A26" s="4">
        <v>42</v>
      </c>
      <c r="B26" t="s">
        <v>260</v>
      </c>
      <c r="C26" s="3">
        <v>3.8</v>
      </c>
      <c r="D26" t="s">
        <v>98</v>
      </c>
      <c r="E26" s="4">
        <v>1</v>
      </c>
      <c r="F26" t="s">
        <v>19</v>
      </c>
      <c r="G26">
        <v>3.8</v>
      </c>
      <c r="H26" t="s">
        <v>98</v>
      </c>
      <c r="I26" t="s">
        <v>238</v>
      </c>
    </row>
    <row r="27" spans="1:9" x14ac:dyDescent="0.25">
      <c r="A27" s="4">
        <v>43</v>
      </c>
      <c r="B27" t="s">
        <v>261</v>
      </c>
      <c r="C27" s="3">
        <v>3.9</v>
      </c>
      <c r="D27" t="s">
        <v>98</v>
      </c>
      <c r="E27" s="4">
        <v>1</v>
      </c>
      <c r="F27" t="s">
        <v>20</v>
      </c>
      <c r="G27">
        <v>3.9</v>
      </c>
      <c r="H27" t="s">
        <v>98</v>
      </c>
      <c r="I27" t="s">
        <v>238</v>
      </c>
    </row>
    <row r="28" spans="1:9" x14ac:dyDescent="0.25">
      <c r="A28" s="4">
        <v>44</v>
      </c>
      <c r="B28" t="s">
        <v>262</v>
      </c>
      <c r="C28" s="3">
        <v>0.6</v>
      </c>
      <c r="D28" t="s">
        <v>102</v>
      </c>
      <c r="E28" s="4">
        <v>1</v>
      </c>
      <c r="F28" t="s">
        <v>21</v>
      </c>
      <c r="G28">
        <v>0.6</v>
      </c>
      <c r="H28" t="s">
        <v>102</v>
      </c>
      <c r="I28" t="s">
        <v>238</v>
      </c>
    </row>
    <row r="29" spans="1:9" x14ac:dyDescent="0.25">
      <c r="A29" s="4">
        <v>45</v>
      </c>
      <c r="B29" t="s">
        <v>263</v>
      </c>
      <c r="C29" s="3">
        <v>3.8</v>
      </c>
      <c r="D29" t="s">
        <v>98</v>
      </c>
      <c r="E29" s="4">
        <v>1</v>
      </c>
      <c r="F29" t="s">
        <v>22</v>
      </c>
      <c r="G29">
        <v>3.8</v>
      </c>
      <c r="H29" t="s">
        <v>98</v>
      </c>
      <c r="I29" t="s">
        <v>238</v>
      </c>
    </row>
    <row r="30" spans="1:9" x14ac:dyDescent="0.25">
      <c r="A30" s="4">
        <v>46</v>
      </c>
      <c r="B30" t="s">
        <v>264</v>
      </c>
      <c r="C30" s="3">
        <v>3.6</v>
      </c>
      <c r="D30" t="s">
        <v>98</v>
      </c>
      <c r="E30" s="4">
        <v>1</v>
      </c>
      <c r="F30" t="s">
        <v>23</v>
      </c>
      <c r="G30">
        <v>3.6</v>
      </c>
      <c r="H30" t="s">
        <v>98</v>
      </c>
      <c r="I30" t="s">
        <v>238</v>
      </c>
    </row>
    <row r="31" spans="1:9" x14ac:dyDescent="0.25">
      <c r="A31" s="4">
        <v>47</v>
      </c>
      <c r="B31" t="s">
        <v>265</v>
      </c>
      <c r="C31" s="3">
        <v>3.6</v>
      </c>
      <c r="D31" t="s">
        <v>98</v>
      </c>
      <c r="E31" s="4">
        <v>1</v>
      </c>
      <c r="F31" t="s">
        <v>25</v>
      </c>
      <c r="G31">
        <v>3.6</v>
      </c>
      <c r="H31" t="s">
        <v>98</v>
      </c>
      <c r="I31" t="s">
        <v>238</v>
      </c>
    </row>
    <row r="32" spans="1:9" x14ac:dyDescent="0.25">
      <c r="A32" s="4">
        <v>48</v>
      </c>
      <c r="B32" t="s">
        <v>266</v>
      </c>
      <c r="C32" s="3">
        <v>3.6</v>
      </c>
      <c r="D32" t="s">
        <v>98</v>
      </c>
      <c r="E32" s="4">
        <v>1</v>
      </c>
      <c r="F32" t="s">
        <v>26</v>
      </c>
      <c r="G32">
        <v>3.6</v>
      </c>
      <c r="H32" t="s">
        <v>98</v>
      </c>
      <c r="I32" t="s">
        <v>238</v>
      </c>
    </row>
    <row r="33" spans="1:9" x14ac:dyDescent="0.25">
      <c r="A33" s="4">
        <v>49</v>
      </c>
      <c r="B33" t="s">
        <v>267</v>
      </c>
      <c r="C33" s="3">
        <v>3.6</v>
      </c>
      <c r="D33" t="s">
        <v>98</v>
      </c>
      <c r="E33" s="4">
        <v>1</v>
      </c>
      <c r="F33" t="s">
        <v>27</v>
      </c>
      <c r="G33">
        <v>3.6</v>
      </c>
      <c r="H33" t="s">
        <v>98</v>
      </c>
      <c r="I33" t="s">
        <v>238</v>
      </c>
    </row>
    <row r="34" spans="1:9" x14ac:dyDescent="0.25">
      <c r="A34" s="4">
        <v>50</v>
      </c>
      <c r="B34" t="s">
        <v>268</v>
      </c>
      <c r="C34" s="3">
        <v>3.6</v>
      </c>
      <c r="D34" t="s">
        <v>98</v>
      </c>
      <c r="E34" s="4">
        <v>1</v>
      </c>
      <c r="F34" t="s">
        <v>28</v>
      </c>
      <c r="G34">
        <v>3.6</v>
      </c>
      <c r="H34" t="s">
        <v>98</v>
      </c>
      <c r="I34" t="s">
        <v>238</v>
      </c>
    </row>
    <row r="35" spans="1:9" x14ac:dyDescent="0.25">
      <c r="A35" s="4">
        <v>51</v>
      </c>
      <c r="B35" t="s">
        <v>269</v>
      </c>
      <c r="C35" s="3">
        <v>2.6</v>
      </c>
      <c r="D35" t="s">
        <v>98</v>
      </c>
      <c r="E35" s="4">
        <v>1</v>
      </c>
      <c r="F35" t="s">
        <v>29</v>
      </c>
      <c r="G35">
        <v>2.6</v>
      </c>
      <c r="H35" t="s">
        <v>98</v>
      </c>
      <c r="I35" t="s">
        <v>238</v>
      </c>
    </row>
    <row r="36" spans="1:9" x14ac:dyDescent="0.25">
      <c r="A36" s="4">
        <v>52</v>
      </c>
      <c r="B36" t="s">
        <v>270</v>
      </c>
      <c r="C36" s="3">
        <v>3.2</v>
      </c>
      <c r="D36" t="s">
        <v>98</v>
      </c>
      <c r="E36" s="4">
        <v>1</v>
      </c>
      <c r="F36" t="s">
        <v>30</v>
      </c>
      <c r="G36">
        <v>3.2</v>
      </c>
      <c r="H36" t="s">
        <v>98</v>
      </c>
      <c r="I36" t="s">
        <v>238</v>
      </c>
    </row>
    <row r="37" spans="1:9" x14ac:dyDescent="0.25">
      <c r="A37" s="4">
        <v>54</v>
      </c>
      <c r="B37" t="s">
        <v>271</v>
      </c>
      <c r="C37" s="3">
        <v>3.8</v>
      </c>
      <c r="D37" t="s">
        <v>98</v>
      </c>
      <c r="E37" s="4">
        <v>1</v>
      </c>
      <c r="F37" t="s">
        <v>31</v>
      </c>
      <c r="G37">
        <v>3.8</v>
      </c>
      <c r="H37" t="s">
        <v>98</v>
      </c>
      <c r="I37" t="s">
        <v>238</v>
      </c>
    </row>
    <row r="38" spans="1:9" x14ac:dyDescent="0.25">
      <c r="A38" s="4">
        <v>55</v>
      </c>
      <c r="B38" t="s">
        <v>272</v>
      </c>
      <c r="C38" s="3">
        <v>3.8</v>
      </c>
      <c r="D38" t="s">
        <v>98</v>
      </c>
      <c r="E38" s="4">
        <v>1</v>
      </c>
      <c r="F38" t="s">
        <v>32</v>
      </c>
      <c r="G38">
        <v>3.8</v>
      </c>
      <c r="H38" t="s">
        <v>98</v>
      </c>
      <c r="I38" t="s">
        <v>238</v>
      </c>
    </row>
    <row r="39" spans="1:9" x14ac:dyDescent="0.25">
      <c r="A39" s="4">
        <v>56</v>
      </c>
      <c r="B39" t="s">
        <v>273</v>
      </c>
      <c r="C39" s="3">
        <v>2</v>
      </c>
      <c r="D39" t="s">
        <v>105</v>
      </c>
      <c r="E39" s="4">
        <v>1</v>
      </c>
      <c r="F39" t="s">
        <v>33</v>
      </c>
      <c r="G39">
        <v>2</v>
      </c>
      <c r="H39" t="s">
        <v>105</v>
      </c>
      <c r="I39" t="s">
        <v>238</v>
      </c>
    </row>
    <row r="40" spans="1:9" x14ac:dyDescent="0.25">
      <c r="A40" s="4">
        <v>57</v>
      </c>
      <c r="B40" t="s">
        <v>274</v>
      </c>
      <c r="C40" s="3">
        <v>2.4</v>
      </c>
      <c r="D40" t="s">
        <v>99</v>
      </c>
      <c r="E40" s="4">
        <v>1</v>
      </c>
      <c r="F40" t="s">
        <v>34</v>
      </c>
      <c r="G40">
        <v>2.4</v>
      </c>
      <c r="H40" t="s">
        <v>99</v>
      </c>
      <c r="I40" t="s">
        <v>238</v>
      </c>
    </row>
    <row r="41" spans="1:9" x14ac:dyDescent="0.25">
      <c r="A41" s="4">
        <v>58</v>
      </c>
      <c r="B41" t="s">
        <v>275</v>
      </c>
      <c r="C41" s="3">
        <v>3</v>
      </c>
      <c r="D41" t="s">
        <v>99</v>
      </c>
      <c r="E41" s="4">
        <v>1</v>
      </c>
      <c r="F41" t="s">
        <v>35</v>
      </c>
      <c r="G41">
        <v>3</v>
      </c>
      <c r="H41" t="s">
        <v>99</v>
      </c>
      <c r="I41" t="s">
        <v>238</v>
      </c>
    </row>
    <row r="42" spans="1:9" x14ac:dyDescent="0.25">
      <c r="A42" s="4">
        <v>59</v>
      </c>
      <c r="B42" t="s">
        <v>276</v>
      </c>
      <c r="C42" s="3">
        <v>4.8</v>
      </c>
      <c r="D42" t="s">
        <v>98</v>
      </c>
      <c r="E42" s="4">
        <v>1</v>
      </c>
      <c r="F42" t="s">
        <v>36</v>
      </c>
      <c r="G42">
        <v>4.8</v>
      </c>
      <c r="H42" t="s">
        <v>98</v>
      </c>
      <c r="I42" t="s">
        <v>238</v>
      </c>
    </row>
    <row r="43" spans="1:9" x14ac:dyDescent="0.25">
      <c r="A43" s="4">
        <v>60</v>
      </c>
      <c r="B43" t="s">
        <v>277</v>
      </c>
      <c r="C43" s="3">
        <v>4</v>
      </c>
      <c r="D43" t="s">
        <v>99</v>
      </c>
      <c r="E43" s="4">
        <v>1</v>
      </c>
      <c r="F43" t="s">
        <v>37</v>
      </c>
      <c r="G43">
        <v>4</v>
      </c>
      <c r="H43" t="s">
        <v>99</v>
      </c>
      <c r="I43" t="s">
        <v>238</v>
      </c>
    </row>
    <row r="44" spans="1:9" x14ac:dyDescent="0.25">
      <c r="A44" s="4">
        <v>61</v>
      </c>
      <c r="B44" t="s">
        <v>278</v>
      </c>
      <c r="C44" s="3">
        <v>5</v>
      </c>
      <c r="D44" t="s">
        <v>99</v>
      </c>
      <c r="E44" s="4">
        <v>1</v>
      </c>
      <c r="F44" t="s">
        <v>38</v>
      </c>
      <c r="G44">
        <v>5</v>
      </c>
      <c r="H44" t="s">
        <v>99</v>
      </c>
      <c r="I44" t="s">
        <v>238</v>
      </c>
    </row>
    <row r="45" spans="1:9" x14ac:dyDescent="0.25">
      <c r="A45" s="4">
        <v>62</v>
      </c>
      <c r="B45" t="s">
        <v>279</v>
      </c>
      <c r="C45" s="3">
        <v>1.3</v>
      </c>
      <c r="D45" t="s">
        <v>102</v>
      </c>
      <c r="E45" s="4">
        <v>1</v>
      </c>
      <c r="F45" t="s">
        <v>39</v>
      </c>
      <c r="G45">
        <v>1.3</v>
      </c>
      <c r="H45" t="s">
        <v>102</v>
      </c>
      <c r="I45" t="s">
        <v>238</v>
      </c>
    </row>
    <row r="46" spans="1:9" x14ac:dyDescent="0.25">
      <c r="A46" s="4">
        <v>63</v>
      </c>
      <c r="B46" t="s">
        <v>280</v>
      </c>
      <c r="C46" s="3">
        <v>1.3</v>
      </c>
      <c r="D46" t="s">
        <v>106</v>
      </c>
      <c r="E46" s="4">
        <v>1</v>
      </c>
      <c r="F46" t="s">
        <v>40</v>
      </c>
      <c r="G46">
        <v>1.3</v>
      </c>
      <c r="H46" t="s">
        <v>106</v>
      </c>
      <c r="I46" t="s">
        <v>238</v>
      </c>
    </row>
    <row r="47" spans="1:9" x14ac:dyDescent="0.25">
      <c r="A47" s="4">
        <v>64</v>
      </c>
      <c r="B47" t="s">
        <v>281</v>
      </c>
      <c r="C47" s="3">
        <v>1.4</v>
      </c>
      <c r="D47" t="s">
        <v>106</v>
      </c>
      <c r="E47" s="4">
        <v>1</v>
      </c>
      <c r="F47" t="s">
        <v>41</v>
      </c>
      <c r="G47">
        <v>1.4</v>
      </c>
      <c r="H47" t="s">
        <v>106</v>
      </c>
      <c r="I47" t="s">
        <v>238</v>
      </c>
    </row>
    <row r="48" spans="1:9" x14ac:dyDescent="0.25">
      <c r="A48" s="4">
        <v>65</v>
      </c>
      <c r="B48" t="s">
        <v>282</v>
      </c>
      <c r="C48" s="3">
        <v>3.4</v>
      </c>
      <c r="D48" t="s">
        <v>99</v>
      </c>
      <c r="E48" s="4">
        <v>1</v>
      </c>
      <c r="F48" t="s">
        <v>42</v>
      </c>
      <c r="G48">
        <v>3.4</v>
      </c>
      <c r="H48" t="s">
        <v>99</v>
      </c>
      <c r="I48" t="s">
        <v>238</v>
      </c>
    </row>
    <row r="49" spans="1:9" x14ac:dyDescent="0.25">
      <c r="A49" s="4">
        <v>66</v>
      </c>
      <c r="B49" t="s">
        <v>283</v>
      </c>
      <c r="C49" s="3">
        <v>2.8</v>
      </c>
      <c r="D49" t="s">
        <v>99</v>
      </c>
      <c r="E49" s="4">
        <v>1</v>
      </c>
      <c r="F49" t="s">
        <v>43</v>
      </c>
      <c r="G49">
        <v>2.8</v>
      </c>
      <c r="H49" t="s">
        <v>99</v>
      </c>
      <c r="I49" t="s">
        <v>238</v>
      </c>
    </row>
    <row r="50" spans="1:9" x14ac:dyDescent="0.25">
      <c r="A50" s="4">
        <v>67</v>
      </c>
      <c r="B50" t="s">
        <v>284</v>
      </c>
      <c r="C50" s="3">
        <v>2.4</v>
      </c>
      <c r="D50" t="s">
        <v>99</v>
      </c>
      <c r="E50" s="4">
        <v>1</v>
      </c>
      <c r="F50" t="s">
        <v>44</v>
      </c>
      <c r="G50">
        <v>2.4</v>
      </c>
      <c r="H50" t="s">
        <v>99</v>
      </c>
      <c r="I50" t="s">
        <v>238</v>
      </c>
    </row>
    <row r="51" spans="1:9" x14ac:dyDescent="0.25">
      <c r="A51" s="4">
        <v>68</v>
      </c>
      <c r="B51" t="s">
        <v>285</v>
      </c>
      <c r="C51" s="3">
        <v>1.3</v>
      </c>
      <c r="D51" t="s">
        <v>102</v>
      </c>
      <c r="E51" s="4">
        <v>1</v>
      </c>
      <c r="F51" t="s">
        <v>45</v>
      </c>
      <c r="G51">
        <v>1.3</v>
      </c>
      <c r="H51" t="s">
        <v>102</v>
      </c>
      <c r="I51" t="s">
        <v>238</v>
      </c>
    </row>
    <row r="52" spans="1:9" x14ac:dyDescent="0.25">
      <c r="A52" s="4">
        <v>70</v>
      </c>
      <c r="B52" t="s">
        <v>286</v>
      </c>
      <c r="C52" s="3">
        <v>3</v>
      </c>
      <c r="D52" t="s">
        <v>99</v>
      </c>
      <c r="E52" s="4">
        <v>1</v>
      </c>
      <c r="F52" t="s">
        <v>46</v>
      </c>
      <c r="G52">
        <v>3</v>
      </c>
      <c r="H52" t="s">
        <v>99</v>
      </c>
      <c r="I52" t="s">
        <v>238</v>
      </c>
    </row>
    <row r="53" spans="1:9" x14ac:dyDescent="0.25">
      <c r="A53" s="4">
        <v>71</v>
      </c>
      <c r="B53" t="s">
        <v>287</v>
      </c>
      <c r="C53" s="3">
        <v>1.3</v>
      </c>
      <c r="D53" t="s">
        <v>102</v>
      </c>
      <c r="E53" s="4">
        <v>1</v>
      </c>
      <c r="F53" t="s">
        <v>47</v>
      </c>
      <c r="G53">
        <v>1.3</v>
      </c>
      <c r="H53" t="s">
        <v>102</v>
      </c>
      <c r="I53" t="s">
        <v>238</v>
      </c>
    </row>
    <row r="54" spans="1:9" x14ac:dyDescent="0.25">
      <c r="A54" s="4">
        <v>72</v>
      </c>
      <c r="B54" t="s">
        <v>288</v>
      </c>
      <c r="C54" s="3">
        <v>1.5</v>
      </c>
      <c r="D54" t="s">
        <v>102</v>
      </c>
      <c r="E54" s="4">
        <v>1</v>
      </c>
      <c r="F54" t="s">
        <v>48</v>
      </c>
      <c r="G54">
        <v>1.5</v>
      </c>
      <c r="H54" t="s">
        <v>102</v>
      </c>
      <c r="I54" t="s">
        <v>238</v>
      </c>
    </row>
    <row r="55" spans="1:9" x14ac:dyDescent="0.25">
      <c r="A55" s="4">
        <v>73</v>
      </c>
      <c r="B55" t="s">
        <v>289</v>
      </c>
      <c r="C55" s="3">
        <v>1.8</v>
      </c>
      <c r="D55" t="s">
        <v>100</v>
      </c>
      <c r="E55" s="4">
        <v>1</v>
      </c>
      <c r="F55" t="s">
        <v>49</v>
      </c>
      <c r="G55">
        <v>1.8</v>
      </c>
      <c r="H55" t="s">
        <v>100</v>
      </c>
      <c r="I55" t="s">
        <v>238</v>
      </c>
    </row>
    <row r="56" spans="1:9" x14ac:dyDescent="0.25">
      <c r="A56" s="4">
        <v>74</v>
      </c>
      <c r="B56" t="s">
        <v>290</v>
      </c>
      <c r="C56" s="3">
        <v>1.8</v>
      </c>
      <c r="D56" t="s">
        <v>100</v>
      </c>
      <c r="E56" s="4">
        <v>1</v>
      </c>
      <c r="F56" t="s">
        <v>50</v>
      </c>
      <c r="G56">
        <v>1.8</v>
      </c>
      <c r="H56" t="s">
        <v>100</v>
      </c>
      <c r="I56" t="s">
        <v>238</v>
      </c>
    </row>
    <row r="57" spans="1:9" x14ac:dyDescent="0.25">
      <c r="A57" s="4">
        <v>75</v>
      </c>
      <c r="B57" t="s">
        <v>291</v>
      </c>
      <c r="C57" s="3">
        <v>2.8</v>
      </c>
      <c r="D57" t="s">
        <v>98</v>
      </c>
      <c r="E57" s="4">
        <v>1</v>
      </c>
      <c r="F57" t="s">
        <v>51</v>
      </c>
      <c r="G57">
        <v>2.8</v>
      </c>
      <c r="H57" t="s">
        <v>98</v>
      </c>
      <c r="I57" t="s">
        <v>238</v>
      </c>
    </row>
    <row r="58" spans="1:9" x14ac:dyDescent="0.25">
      <c r="A58" s="4">
        <v>77</v>
      </c>
      <c r="B58" t="s">
        <v>292</v>
      </c>
      <c r="C58" s="3">
        <v>2.4</v>
      </c>
      <c r="D58" t="s">
        <v>99</v>
      </c>
      <c r="E58" s="4">
        <v>1</v>
      </c>
      <c r="F58" t="s">
        <v>52</v>
      </c>
      <c r="G58">
        <v>2.4</v>
      </c>
      <c r="H58" t="s">
        <v>99</v>
      </c>
      <c r="I58" t="s">
        <v>238</v>
      </c>
    </row>
    <row r="59" spans="1:9" x14ac:dyDescent="0.25">
      <c r="A59" s="4">
        <v>78</v>
      </c>
      <c r="B59" t="s">
        <v>293</v>
      </c>
      <c r="C59" s="3">
        <v>4.8</v>
      </c>
      <c r="D59" t="s">
        <v>98</v>
      </c>
      <c r="E59" s="4">
        <v>1</v>
      </c>
      <c r="F59" t="s">
        <v>53</v>
      </c>
      <c r="G59">
        <v>4.8</v>
      </c>
      <c r="H59" t="s">
        <v>98</v>
      </c>
      <c r="I59" t="s">
        <v>238</v>
      </c>
    </row>
    <row r="60" spans="1:9" x14ac:dyDescent="0.25">
      <c r="A60" s="4">
        <v>79</v>
      </c>
      <c r="B60" t="s">
        <v>294</v>
      </c>
      <c r="C60" s="3">
        <v>3.9</v>
      </c>
      <c r="D60" t="s">
        <v>98</v>
      </c>
      <c r="E60" s="4">
        <v>1</v>
      </c>
      <c r="F60" t="s">
        <v>54</v>
      </c>
      <c r="G60">
        <v>3.9</v>
      </c>
      <c r="H60" t="s">
        <v>98</v>
      </c>
      <c r="I60" t="s">
        <v>238</v>
      </c>
    </row>
    <row r="61" spans="1:9" x14ac:dyDescent="0.25">
      <c r="A61" s="4">
        <v>80</v>
      </c>
      <c r="B61" t="s">
        <v>295</v>
      </c>
      <c r="C61" s="3">
        <v>1.3</v>
      </c>
      <c r="D61" t="s">
        <v>102</v>
      </c>
      <c r="E61" s="4">
        <v>1</v>
      </c>
      <c r="F61" t="s">
        <v>55</v>
      </c>
      <c r="G61">
        <v>1.3</v>
      </c>
      <c r="H61" t="s">
        <v>102</v>
      </c>
      <c r="I61" t="s">
        <v>238</v>
      </c>
    </row>
    <row r="62" spans="1:9" x14ac:dyDescent="0.25">
      <c r="A62" s="4">
        <v>81</v>
      </c>
      <c r="B62" t="s">
        <v>296</v>
      </c>
      <c r="C62" s="3">
        <v>2.8</v>
      </c>
      <c r="D62" t="s">
        <v>98</v>
      </c>
      <c r="E62" s="4">
        <v>1</v>
      </c>
      <c r="F62" t="s">
        <v>56</v>
      </c>
      <c r="G62">
        <v>2.8</v>
      </c>
      <c r="H62" t="s">
        <v>98</v>
      </c>
      <c r="I62" t="s">
        <v>238</v>
      </c>
    </row>
    <row r="63" spans="1:9" x14ac:dyDescent="0.25">
      <c r="A63" s="4">
        <v>82</v>
      </c>
      <c r="B63" t="s">
        <v>297</v>
      </c>
      <c r="C63" s="3">
        <v>2.8</v>
      </c>
      <c r="D63" t="s">
        <v>98</v>
      </c>
      <c r="E63" s="4">
        <v>1</v>
      </c>
      <c r="F63" t="s">
        <v>57</v>
      </c>
      <c r="G63">
        <v>2.8</v>
      </c>
      <c r="H63" t="s">
        <v>98</v>
      </c>
      <c r="I63" t="s">
        <v>238</v>
      </c>
    </row>
    <row r="64" spans="1:9" x14ac:dyDescent="0.25">
      <c r="A64" s="4">
        <v>83</v>
      </c>
      <c r="B64" t="s">
        <v>298</v>
      </c>
      <c r="C64" s="3">
        <v>4.8</v>
      </c>
      <c r="D64" t="s">
        <v>98</v>
      </c>
      <c r="E64" s="4">
        <v>1</v>
      </c>
      <c r="F64" t="s">
        <v>58</v>
      </c>
      <c r="G64">
        <v>4.8</v>
      </c>
      <c r="H64" t="s">
        <v>98</v>
      </c>
      <c r="I64" t="s">
        <v>238</v>
      </c>
    </row>
    <row r="65" spans="1:9" x14ac:dyDescent="0.25">
      <c r="A65" s="4">
        <v>84</v>
      </c>
      <c r="B65" t="s">
        <v>299</v>
      </c>
      <c r="C65" s="3">
        <v>4.8</v>
      </c>
      <c r="D65" t="s">
        <v>98</v>
      </c>
      <c r="E65" s="4">
        <v>1</v>
      </c>
      <c r="F65" t="s">
        <v>59</v>
      </c>
      <c r="G65">
        <v>4.8</v>
      </c>
      <c r="H65" t="s">
        <v>98</v>
      </c>
      <c r="I65" t="s">
        <v>238</v>
      </c>
    </row>
    <row r="66" spans="1:9" x14ac:dyDescent="0.25">
      <c r="A66" s="4">
        <v>85</v>
      </c>
      <c r="B66" t="s">
        <v>300</v>
      </c>
      <c r="C66" s="3">
        <v>3.6</v>
      </c>
      <c r="D66" t="s">
        <v>102</v>
      </c>
      <c r="E66" s="4">
        <v>1</v>
      </c>
      <c r="F66" t="s">
        <v>60</v>
      </c>
      <c r="G66">
        <v>3.6</v>
      </c>
      <c r="H66" t="s">
        <v>102</v>
      </c>
      <c r="I66" t="s">
        <v>238</v>
      </c>
    </row>
    <row r="67" spans="1:9" x14ac:dyDescent="0.25">
      <c r="A67" s="4">
        <v>86</v>
      </c>
      <c r="B67" t="s">
        <v>301</v>
      </c>
      <c r="C67" s="3">
        <v>3</v>
      </c>
      <c r="D67" t="s">
        <v>98</v>
      </c>
      <c r="E67" s="4">
        <v>1</v>
      </c>
      <c r="F67" t="s">
        <v>61</v>
      </c>
      <c r="G67">
        <v>3</v>
      </c>
      <c r="H67" t="s">
        <v>98</v>
      </c>
      <c r="I67" t="s">
        <v>238</v>
      </c>
    </row>
    <row r="68" spans="1:9" x14ac:dyDescent="0.25">
      <c r="A68" s="4">
        <v>87</v>
      </c>
      <c r="B68" t="s">
        <v>302</v>
      </c>
      <c r="C68" s="3">
        <v>1.4</v>
      </c>
      <c r="D68" t="s">
        <v>107</v>
      </c>
      <c r="E68" s="4">
        <v>1</v>
      </c>
      <c r="F68" t="s">
        <v>62</v>
      </c>
      <c r="G68">
        <v>1.4</v>
      </c>
      <c r="H68" t="s">
        <v>107</v>
      </c>
      <c r="I68" t="s">
        <v>238</v>
      </c>
    </row>
    <row r="69" spans="1:9" x14ac:dyDescent="0.25">
      <c r="A69" s="4">
        <v>88</v>
      </c>
      <c r="B69" t="s">
        <v>303</v>
      </c>
      <c r="C69" s="3">
        <v>2.8</v>
      </c>
      <c r="D69" t="s">
        <v>108</v>
      </c>
      <c r="E69" s="4">
        <v>1</v>
      </c>
      <c r="F69" t="s">
        <v>63</v>
      </c>
      <c r="G69">
        <v>2.8</v>
      </c>
      <c r="H69" t="s">
        <v>108</v>
      </c>
      <c r="I69" t="s">
        <v>238</v>
      </c>
    </row>
    <row r="70" spans="1:9" x14ac:dyDescent="0.25">
      <c r="A70" s="4">
        <v>89</v>
      </c>
      <c r="B70" t="s">
        <v>304</v>
      </c>
      <c r="C70" s="3">
        <v>2.4</v>
      </c>
      <c r="D70" t="s">
        <v>98</v>
      </c>
      <c r="E70" s="4">
        <v>1</v>
      </c>
      <c r="F70" t="s">
        <v>64</v>
      </c>
      <c r="G70">
        <v>2.4</v>
      </c>
      <c r="H70" t="s">
        <v>98</v>
      </c>
      <c r="I70" t="s">
        <v>238</v>
      </c>
    </row>
    <row r="71" spans="1:9" x14ac:dyDescent="0.25">
      <c r="A71" s="4">
        <v>90</v>
      </c>
      <c r="B71" t="s">
        <v>305</v>
      </c>
      <c r="C71" s="3">
        <v>2.4</v>
      </c>
      <c r="D71" t="s">
        <v>98</v>
      </c>
      <c r="E71" s="4">
        <v>1</v>
      </c>
      <c r="F71" t="s">
        <v>65</v>
      </c>
      <c r="G71">
        <v>2.4</v>
      </c>
      <c r="H71" t="s">
        <v>98</v>
      </c>
      <c r="I71" t="s">
        <v>238</v>
      </c>
    </row>
    <row r="72" spans="1:9" x14ac:dyDescent="0.25">
      <c r="A72" s="4">
        <v>91</v>
      </c>
      <c r="B72" t="s">
        <v>306</v>
      </c>
      <c r="C72" s="3">
        <v>2.8</v>
      </c>
      <c r="D72" t="s">
        <v>98</v>
      </c>
      <c r="E72" s="4">
        <v>1</v>
      </c>
      <c r="F72" t="s">
        <v>66</v>
      </c>
      <c r="G72">
        <v>2.8</v>
      </c>
      <c r="H72" t="s">
        <v>98</v>
      </c>
      <c r="I72" t="s">
        <v>238</v>
      </c>
    </row>
    <row r="73" spans="1:9" x14ac:dyDescent="0.25">
      <c r="A73" s="4">
        <v>92</v>
      </c>
      <c r="B73" t="s">
        <v>307</v>
      </c>
      <c r="C73" s="3">
        <v>2</v>
      </c>
      <c r="D73" t="s">
        <v>98</v>
      </c>
      <c r="E73" s="4">
        <v>1</v>
      </c>
      <c r="F73" t="s">
        <v>67</v>
      </c>
      <c r="G73">
        <v>2</v>
      </c>
      <c r="H73" t="s">
        <v>98</v>
      </c>
      <c r="I73" t="s">
        <v>238</v>
      </c>
    </row>
    <row r="74" spans="1:9" x14ac:dyDescent="0.25">
      <c r="A74" s="4">
        <v>93</v>
      </c>
      <c r="B74" t="s">
        <v>308</v>
      </c>
      <c r="C74" s="3">
        <v>2.8</v>
      </c>
      <c r="D74" t="s">
        <v>106</v>
      </c>
      <c r="E74" s="4">
        <v>1</v>
      </c>
      <c r="F74" t="s">
        <v>68</v>
      </c>
      <c r="G74">
        <v>2.8</v>
      </c>
      <c r="H74" t="s">
        <v>106</v>
      </c>
      <c r="I74" t="s">
        <v>238</v>
      </c>
    </row>
    <row r="75" spans="1:9" x14ac:dyDescent="0.25">
      <c r="A75" s="4">
        <v>94</v>
      </c>
      <c r="B75" t="s">
        <v>309</v>
      </c>
      <c r="C75" s="3">
        <v>2.9</v>
      </c>
      <c r="D75" t="s">
        <v>99</v>
      </c>
      <c r="E75" s="4">
        <v>1</v>
      </c>
      <c r="F75" t="s">
        <v>69</v>
      </c>
      <c r="G75">
        <v>2.9</v>
      </c>
      <c r="H75" t="s">
        <v>99</v>
      </c>
      <c r="I75" t="s">
        <v>238</v>
      </c>
    </row>
    <row r="76" spans="1:9" x14ac:dyDescent="0.25">
      <c r="A76" s="4">
        <v>95</v>
      </c>
      <c r="B76" t="s">
        <v>310</v>
      </c>
      <c r="C76" s="3">
        <v>12</v>
      </c>
      <c r="D76" t="s">
        <v>99</v>
      </c>
      <c r="E76" s="4">
        <v>1</v>
      </c>
      <c r="F76" t="s">
        <v>70</v>
      </c>
      <c r="G76">
        <v>12</v>
      </c>
      <c r="H76" t="s">
        <v>99</v>
      </c>
      <c r="I76" t="s">
        <v>238</v>
      </c>
    </row>
    <row r="77" spans="1:9" x14ac:dyDescent="0.25">
      <c r="A77" s="4">
        <v>96</v>
      </c>
      <c r="B77" t="s">
        <v>311</v>
      </c>
      <c r="C77" s="3">
        <v>3.5</v>
      </c>
      <c r="D77" t="s">
        <v>104</v>
      </c>
      <c r="E77" s="4">
        <v>1</v>
      </c>
      <c r="F77" t="s">
        <v>71</v>
      </c>
      <c r="G77">
        <v>3.5</v>
      </c>
      <c r="H77" t="s">
        <v>104</v>
      </c>
      <c r="I77" t="s">
        <v>238</v>
      </c>
    </row>
    <row r="78" spans="1:9" x14ac:dyDescent="0.25">
      <c r="A78" s="4">
        <v>97</v>
      </c>
      <c r="B78" t="s">
        <v>312</v>
      </c>
      <c r="C78" s="3">
        <v>2.4</v>
      </c>
      <c r="D78" t="s">
        <v>98</v>
      </c>
      <c r="E78" s="4">
        <v>1</v>
      </c>
      <c r="F78" t="s">
        <v>72</v>
      </c>
      <c r="G78">
        <v>2.4</v>
      </c>
      <c r="H78" t="s">
        <v>98</v>
      </c>
      <c r="I78" t="s">
        <v>238</v>
      </c>
    </row>
    <row r="79" spans="1:9" x14ac:dyDescent="0.25">
      <c r="A79" s="4">
        <v>98</v>
      </c>
      <c r="B79" t="s">
        <v>313</v>
      </c>
      <c r="C79" s="3">
        <v>2.4</v>
      </c>
      <c r="D79" t="s">
        <v>98</v>
      </c>
      <c r="E79" s="4">
        <v>1</v>
      </c>
      <c r="F79" t="s">
        <v>73</v>
      </c>
      <c r="G79">
        <v>2.4</v>
      </c>
      <c r="H79" t="s">
        <v>98</v>
      </c>
      <c r="I79" t="s">
        <v>238</v>
      </c>
    </row>
    <row r="80" spans="1:9" x14ac:dyDescent="0.25">
      <c r="A80" s="4">
        <v>99</v>
      </c>
      <c r="B80" t="s">
        <v>314</v>
      </c>
      <c r="C80" s="3">
        <v>1.2</v>
      </c>
      <c r="D80" t="s">
        <v>104</v>
      </c>
      <c r="E80" s="4">
        <v>1</v>
      </c>
      <c r="F80" t="s">
        <v>74</v>
      </c>
      <c r="G80">
        <v>1.2</v>
      </c>
      <c r="H80" t="s">
        <v>104</v>
      </c>
      <c r="I80" t="s">
        <v>238</v>
      </c>
    </row>
    <row r="81" spans="1:9" x14ac:dyDescent="0.25">
      <c r="A81" s="4">
        <v>100</v>
      </c>
      <c r="B81" t="s">
        <v>315</v>
      </c>
      <c r="C81" s="3">
        <v>1.5</v>
      </c>
      <c r="D81" t="s">
        <v>109</v>
      </c>
      <c r="E81" s="4">
        <v>1</v>
      </c>
      <c r="F81" t="s">
        <v>75</v>
      </c>
      <c r="G81">
        <v>1.5</v>
      </c>
      <c r="H81" t="s">
        <v>109</v>
      </c>
      <c r="I81" t="s">
        <v>238</v>
      </c>
    </row>
    <row r="82" spans="1:9" x14ac:dyDescent="0.25">
      <c r="A82" s="4">
        <v>102</v>
      </c>
      <c r="B82" t="s">
        <v>316</v>
      </c>
      <c r="C82" s="3">
        <v>3.6</v>
      </c>
      <c r="D82" t="s">
        <v>101</v>
      </c>
      <c r="E82" s="4">
        <v>1</v>
      </c>
      <c r="F82" t="s">
        <v>76</v>
      </c>
      <c r="G82">
        <v>3.6</v>
      </c>
      <c r="H82" t="s">
        <v>101</v>
      </c>
      <c r="I82" t="s">
        <v>238</v>
      </c>
    </row>
    <row r="83" spans="1:9" x14ac:dyDescent="0.25">
      <c r="A83" s="4">
        <v>103</v>
      </c>
      <c r="B83" t="s">
        <v>317</v>
      </c>
      <c r="C83" s="3">
        <v>1</v>
      </c>
      <c r="D83" t="s">
        <v>100</v>
      </c>
      <c r="E83" s="4">
        <v>1</v>
      </c>
      <c r="F83" t="s">
        <v>77</v>
      </c>
      <c r="G83">
        <v>1</v>
      </c>
      <c r="H83" t="s">
        <v>100</v>
      </c>
      <c r="I83" t="s">
        <v>238</v>
      </c>
    </row>
    <row r="84" spans="1:9" x14ac:dyDescent="0.25">
      <c r="A84" s="4">
        <v>104</v>
      </c>
      <c r="B84" t="s">
        <v>318</v>
      </c>
      <c r="C84" s="3">
        <v>1.1000000000000001</v>
      </c>
      <c r="D84" t="s">
        <v>110</v>
      </c>
      <c r="E84" s="4">
        <v>1</v>
      </c>
      <c r="F84" t="s">
        <v>78</v>
      </c>
      <c r="G84">
        <v>1.1000000000000001</v>
      </c>
      <c r="H84" t="s">
        <v>110</v>
      </c>
      <c r="I84" t="s">
        <v>238</v>
      </c>
    </row>
    <row r="85" spans="1:9" x14ac:dyDescent="0.25">
      <c r="A85" s="4">
        <v>105</v>
      </c>
      <c r="B85" t="s">
        <v>319</v>
      </c>
      <c r="C85" s="3">
        <v>2.5</v>
      </c>
      <c r="D85" t="s">
        <v>111</v>
      </c>
      <c r="E85" s="4">
        <v>1</v>
      </c>
      <c r="F85" t="s">
        <v>79</v>
      </c>
      <c r="G85">
        <v>2.5</v>
      </c>
      <c r="H85" t="s">
        <v>111</v>
      </c>
      <c r="I85" t="s">
        <v>238</v>
      </c>
    </row>
    <row r="86" spans="1:9" x14ac:dyDescent="0.25">
      <c r="A86" s="4">
        <v>106</v>
      </c>
      <c r="B86" t="s">
        <v>320</v>
      </c>
      <c r="C86" s="3">
        <v>2.5</v>
      </c>
      <c r="D86" t="s">
        <v>111</v>
      </c>
      <c r="E86" s="4">
        <v>1</v>
      </c>
      <c r="F86" t="s">
        <v>80</v>
      </c>
      <c r="G86">
        <v>2.5</v>
      </c>
      <c r="H86" t="s">
        <v>111</v>
      </c>
      <c r="I86" t="s">
        <v>238</v>
      </c>
    </row>
    <row r="87" spans="1:9" x14ac:dyDescent="0.25">
      <c r="A87" s="4">
        <v>107</v>
      </c>
      <c r="B87" t="s">
        <v>321</v>
      </c>
      <c r="C87" s="3">
        <v>2.5</v>
      </c>
      <c r="D87" t="s">
        <v>111</v>
      </c>
      <c r="E87" s="4">
        <v>1</v>
      </c>
      <c r="F87" t="s">
        <v>81</v>
      </c>
      <c r="G87">
        <v>2.5</v>
      </c>
      <c r="H87" t="s">
        <v>111</v>
      </c>
      <c r="I87" t="s">
        <v>238</v>
      </c>
    </row>
    <row r="88" spans="1:9" x14ac:dyDescent="0.25">
      <c r="A88" s="4">
        <v>108</v>
      </c>
      <c r="B88" t="s">
        <v>322</v>
      </c>
      <c r="C88" s="3">
        <v>2.5</v>
      </c>
      <c r="D88" t="s">
        <v>111</v>
      </c>
      <c r="E88" s="4">
        <v>1</v>
      </c>
      <c r="F88" t="s">
        <v>82</v>
      </c>
      <c r="G88">
        <v>2.5</v>
      </c>
      <c r="H88" t="s">
        <v>111</v>
      </c>
      <c r="I88" t="s">
        <v>238</v>
      </c>
    </row>
    <row r="89" spans="1:9" x14ac:dyDescent="0.25">
      <c r="A89" s="4">
        <v>109</v>
      </c>
      <c r="B89" t="s">
        <v>323</v>
      </c>
      <c r="C89" s="3">
        <v>1.2</v>
      </c>
      <c r="D89" t="s">
        <v>106</v>
      </c>
      <c r="E89" s="4">
        <v>1</v>
      </c>
      <c r="F89" t="s">
        <v>83</v>
      </c>
      <c r="G89">
        <v>1.2</v>
      </c>
      <c r="H89" t="s">
        <v>106</v>
      </c>
      <c r="I89" t="s">
        <v>238</v>
      </c>
    </row>
    <row r="90" spans="1:9" x14ac:dyDescent="0.25">
      <c r="A90" s="4">
        <v>110</v>
      </c>
      <c r="B90" t="s">
        <v>324</v>
      </c>
      <c r="C90" s="3">
        <v>1.2</v>
      </c>
      <c r="D90" t="s">
        <v>106</v>
      </c>
      <c r="E90" s="4">
        <v>1</v>
      </c>
      <c r="F90" t="s">
        <v>84</v>
      </c>
      <c r="G90">
        <v>1.2</v>
      </c>
      <c r="H90" t="s">
        <v>106</v>
      </c>
      <c r="I90" t="s">
        <v>238</v>
      </c>
    </row>
    <row r="91" spans="1:9" x14ac:dyDescent="0.25">
      <c r="A91" s="4">
        <v>111</v>
      </c>
      <c r="B91" t="s">
        <v>325</v>
      </c>
      <c r="C91" s="3">
        <v>1.5</v>
      </c>
      <c r="D91" t="s">
        <v>106</v>
      </c>
      <c r="E91" s="4">
        <v>1</v>
      </c>
      <c r="F91" t="s">
        <v>85</v>
      </c>
      <c r="G91">
        <v>1.5</v>
      </c>
      <c r="H91" t="s">
        <v>106</v>
      </c>
      <c r="I91" t="s">
        <v>238</v>
      </c>
    </row>
    <row r="92" spans="1:9" x14ac:dyDescent="0.25">
      <c r="A92" s="4">
        <v>113</v>
      </c>
      <c r="B92" t="s">
        <v>326</v>
      </c>
      <c r="C92" s="3">
        <v>4.9000000000000004</v>
      </c>
      <c r="D92" t="s">
        <v>112</v>
      </c>
      <c r="E92" s="4">
        <v>1</v>
      </c>
      <c r="F92" t="s">
        <v>86</v>
      </c>
      <c r="G92">
        <v>4.9000000000000004</v>
      </c>
      <c r="H92" t="s">
        <v>112</v>
      </c>
      <c r="I92" t="s">
        <v>238</v>
      </c>
    </row>
    <row r="93" spans="1:9" x14ac:dyDescent="0.25">
      <c r="A93" s="4">
        <v>114</v>
      </c>
      <c r="B93" t="s">
        <v>327</v>
      </c>
      <c r="C93" s="3">
        <v>4.9000000000000004</v>
      </c>
      <c r="D93" t="s">
        <v>112</v>
      </c>
      <c r="E93" s="4">
        <v>1</v>
      </c>
      <c r="F93" t="s">
        <v>87</v>
      </c>
      <c r="G93">
        <v>4.9000000000000004</v>
      </c>
      <c r="H93" t="s">
        <v>112</v>
      </c>
      <c r="I93" t="s">
        <v>238</v>
      </c>
    </row>
    <row r="94" spans="1:9" x14ac:dyDescent="0.25">
      <c r="A94" s="4">
        <v>115</v>
      </c>
      <c r="B94" t="s">
        <v>328</v>
      </c>
      <c r="C94" s="3">
        <v>5.3</v>
      </c>
      <c r="D94" t="s">
        <v>113</v>
      </c>
      <c r="E94" s="4">
        <v>1</v>
      </c>
      <c r="F94" t="s">
        <v>88</v>
      </c>
      <c r="G94">
        <v>5.3</v>
      </c>
      <c r="H94" t="s">
        <v>113</v>
      </c>
      <c r="I94" t="s">
        <v>238</v>
      </c>
    </row>
    <row r="95" spans="1:9" x14ac:dyDescent="0.25">
      <c r="A95" s="4">
        <v>116</v>
      </c>
      <c r="B95" t="s">
        <v>329</v>
      </c>
      <c r="C95" s="3">
        <v>13.8</v>
      </c>
      <c r="D95" t="s">
        <v>112</v>
      </c>
      <c r="E95" s="4">
        <v>1</v>
      </c>
      <c r="F95" t="s">
        <v>89</v>
      </c>
      <c r="G95">
        <v>13.8</v>
      </c>
      <c r="H95" t="s">
        <v>112</v>
      </c>
      <c r="I95" t="s">
        <v>238</v>
      </c>
    </row>
    <row r="96" spans="1:9" x14ac:dyDescent="0.25">
      <c r="A96" s="4">
        <v>118</v>
      </c>
      <c r="B96" t="s">
        <v>330</v>
      </c>
      <c r="C96" s="3">
        <v>4.8</v>
      </c>
      <c r="D96" t="s">
        <v>114</v>
      </c>
      <c r="E96" s="4">
        <v>1</v>
      </c>
      <c r="F96" t="s">
        <v>90</v>
      </c>
      <c r="G96">
        <v>4.8</v>
      </c>
      <c r="H96" t="s">
        <v>114</v>
      </c>
      <c r="I96" t="s">
        <v>238</v>
      </c>
    </row>
    <row r="97" spans="1:9" x14ac:dyDescent="0.25">
      <c r="A97" s="4">
        <v>119</v>
      </c>
      <c r="B97" t="s">
        <v>331</v>
      </c>
      <c r="C97" s="3">
        <v>4.8</v>
      </c>
      <c r="D97" t="s">
        <v>114</v>
      </c>
      <c r="E97" s="4">
        <v>1</v>
      </c>
      <c r="F97" t="s">
        <v>91</v>
      </c>
      <c r="G97">
        <v>4.8</v>
      </c>
      <c r="H97" t="s">
        <v>114</v>
      </c>
      <c r="I97" t="s">
        <v>238</v>
      </c>
    </row>
    <row r="98" spans="1:9" x14ac:dyDescent="0.25">
      <c r="A98" s="4">
        <v>120</v>
      </c>
      <c r="B98" t="s">
        <v>332</v>
      </c>
      <c r="C98" s="3">
        <v>4.8</v>
      </c>
      <c r="D98" t="s">
        <v>114</v>
      </c>
      <c r="E98" s="4">
        <v>1</v>
      </c>
      <c r="F98" t="s">
        <v>92</v>
      </c>
      <c r="G98">
        <v>4.8</v>
      </c>
      <c r="H98" t="s">
        <v>114</v>
      </c>
      <c r="I98" t="s">
        <v>238</v>
      </c>
    </row>
    <row r="99" spans="1:9" x14ac:dyDescent="0.25">
      <c r="A99" s="4">
        <v>121</v>
      </c>
      <c r="B99" t="s">
        <v>333</v>
      </c>
      <c r="C99" s="3">
        <v>3.9</v>
      </c>
      <c r="D99" t="s">
        <v>114</v>
      </c>
      <c r="E99" s="4">
        <v>1</v>
      </c>
      <c r="F99" t="s">
        <v>93</v>
      </c>
      <c r="G99">
        <v>3.9</v>
      </c>
      <c r="H99" t="s">
        <v>114</v>
      </c>
      <c r="I99" t="s">
        <v>238</v>
      </c>
    </row>
    <row r="100" spans="1:9" x14ac:dyDescent="0.25">
      <c r="A100" s="4">
        <v>122</v>
      </c>
      <c r="B100" t="s">
        <v>334</v>
      </c>
      <c r="C100" s="3">
        <v>3.5</v>
      </c>
      <c r="D100" t="s">
        <v>114</v>
      </c>
      <c r="E100" s="4">
        <v>1</v>
      </c>
      <c r="F100" t="s">
        <v>94</v>
      </c>
      <c r="G100">
        <v>3.5</v>
      </c>
      <c r="H100" t="s">
        <v>114</v>
      </c>
      <c r="I100" t="s">
        <v>238</v>
      </c>
    </row>
    <row r="101" spans="1:9" x14ac:dyDescent="0.25">
      <c r="A101" s="4">
        <v>123</v>
      </c>
      <c r="B101" t="s">
        <v>335</v>
      </c>
      <c r="C101" s="3">
        <v>2.9</v>
      </c>
      <c r="D101" t="s">
        <v>114</v>
      </c>
      <c r="E101" s="4">
        <v>1</v>
      </c>
      <c r="F101" t="s">
        <v>95</v>
      </c>
      <c r="G101">
        <v>2.9</v>
      </c>
      <c r="H101" t="s">
        <v>114</v>
      </c>
      <c r="I101" t="s">
        <v>238</v>
      </c>
    </row>
    <row r="102" spans="1:9" x14ac:dyDescent="0.25">
      <c r="A102" s="4">
        <v>125</v>
      </c>
      <c r="B102" t="s">
        <v>336</v>
      </c>
      <c r="C102" s="3">
        <v>0.5</v>
      </c>
      <c r="D102" t="s">
        <v>102</v>
      </c>
      <c r="E102" s="4">
        <v>1</v>
      </c>
      <c r="F102" t="s">
        <v>96</v>
      </c>
      <c r="G102">
        <v>0.5</v>
      </c>
      <c r="H102" t="s">
        <v>102</v>
      </c>
      <c r="I102" t="s">
        <v>238</v>
      </c>
    </row>
    <row r="103" spans="1:9" x14ac:dyDescent="0.25">
      <c r="A103" s="4">
        <v>126</v>
      </c>
      <c r="B103" t="s">
        <v>337</v>
      </c>
      <c r="C103" s="3">
        <v>10</v>
      </c>
      <c r="D103" t="s">
        <v>338</v>
      </c>
      <c r="E103" s="4">
        <v>1</v>
      </c>
      <c r="F103" t="s">
        <v>97</v>
      </c>
      <c r="G103">
        <v>10</v>
      </c>
      <c r="H103" t="s">
        <v>115</v>
      </c>
      <c r="I103" t="s">
        <v>238</v>
      </c>
    </row>
    <row r="104" spans="1:9" x14ac:dyDescent="0.25">
      <c r="A104" s="4">
        <v>126</v>
      </c>
      <c r="B104" t="s">
        <v>337</v>
      </c>
      <c r="C104" s="3">
        <v>19</v>
      </c>
      <c r="D104" t="s">
        <v>116</v>
      </c>
      <c r="E104" s="4">
        <v>1</v>
      </c>
      <c r="F104" t="s">
        <v>247</v>
      </c>
      <c r="G104">
        <v>19</v>
      </c>
      <c r="H104" t="s">
        <v>116</v>
      </c>
      <c r="I104" t="s">
        <v>238</v>
      </c>
    </row>
  </sheetData>
  <mergeCells count="2">
    <mergeCell ref="A1:I1"/>
    <mergeCell ref="A2:I2"/>
  </mergeCells>
  <conditionalFormatting sqref="I5:I104">
    <cfRule type="expression" priority="1"/>
  </conditionalFormatting>
  <conditionalFormatting sqref="I5:I104">
    <cfRule type="expression" dxfId="2" priority="2">
      <formula>ISNUMBER(SEARCH("Fehlt",$I5))</formula>
    </cfRule>
  </conditionalFormatting>
  <conditionalFormatting sqref="I5:I104">
    <cfRule type="expression" dxfId="1" priority="3">
      <formula>ISNUMBER(SEARCH("Preis",$I5))</formula>
    </cfRule>
  </conditionalFormatting>
  <conditionalFormatting sqref="I5:I104">
    <cfRule type="expression" dxfId="0" priority="4">
      <formula>ISNUMBER(SEARCH("Einheit",$I5))</formula>
    </cfRule>
  </conditionalFormatting>
  <pageMargins left="0.7" right="0.7" top="0.78740157499999996" bottom="0.78740157499999996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2d8b24e5-b9a4-4e15-ba29-0d61d2b19ad1}" enabled="1" method="Standard" siteId="{7d463204-c9c5-402a-a1c6-f7bbe8e5ee14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Gemüse</vt:lpstr>
      <vt:lpstr>Tabelle1</vt:lpstr>
      <vt:lpstr>Abgleich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Berger Monika</dc:creator>
  <cp:lastModifiedBy>Leisser Verena</cp:lastModifiedBy>
  <dcterms:created xsi:type="dcterms:W3CDTF">2015-06-05T18:19:34Z</dcterms:created>
  <dcterms:modified xsi:type="dcterms:W3CDTF">2026-04-15T09:30:25Z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